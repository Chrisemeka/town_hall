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townhall\"/>
    </mc:Choice>
  </mc:AlternateContent>
  <xr:revisionPtr revIDLastSave="0" documentId="13_ncr:1_{01605A86-E2AE-406E-925A-109B65E044A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1 · Engineer Tests" sheetId="1" r:id="rId1"/>
    <sheet name="2 · QA Tester" sheetId="2" r:id="rId2"/>
    <sheet name="3 · End-User Sanity" sheetId="3" r:id="rId3"/>
    <sheet name="4 · Release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4" l="1"/>
  <c r="A2" i="4"/>
  <c r="E2" i="3"/>
  <c r="A2" i="3"/>
  <c r="E2" i="2"/>
  <c r="A2" i="2"/>
  <c r="E2" i="1"/>
  <c r="A2" i="1"/>
</calcChain>
</file>

<file path=xl/sharedStrings.xml><?xml version="1.0" encoding="utf-8"?>
<sst xmlns="http://schemas.openxmlformats.org/spreadsheetml/2006/main" count="877" uniqueCount="487">
  <si>
    <t>TownHall — 1 · Engineer Tests</t>
  </si>
  <si>
    <t>ID</t>
  </si>
  <si>
    <t>Description</t>
  </si>
  <si>
    <t>Notes / Expected</t>
  </si>
  <si>
    <t>Status</t>
  </si>
  <si>
    <t xml:space="preserve">  1.1 Authentication — actions/auth.ts</t>
  </si>
  <si>
    <t>☐</t>
  </si>
  <si>
    <t>AUTH-01</t>
  </si>
  <si>
    <t>signInWithGoogle() resolves siteUrl from NEXT_PUBLIC_SITE_URL when set</t>
  </si>
  <si>
    <t>redirect URL uses that origin</t>
  </si>
  <si>
    <t>To Do</t>
  </si>
  <si>
    <t>AUTH-02</t>
  </si>
  <si>
    <t>signInWithGoogle() falls back to NEXT_PUBLIC_VERCEL_URL when site URL missing</t>
  </si>
  <si>
    <t>redirect URL uses https://&lt;vercel-url&gt;</t>
  </si>
  <si>
    <t>AUTH-03</t>
  </si>
  <si>
    <t>signInWithGoogle() falls back to http://localhost:3000 when both env vars missing</t>
  </si>
  <si>
    <t>local redirect URL used</t>
  </si>
  <si>
    <t>AUTH-04</t>
  </si>
  <si>
    <t>signOutAction() clears the Supabase session and redirects to /</t>
  </si>
  <si>
    <t>user is logged out</t>
  </si>
  <si>
    <t>AUTH-05</t>
  </si>
  <si>
    <t>deleteAccountAction() rejects unauthenticated callers</t>
  </si>
  <si>
    <t>redirects to / without calling RPC</t>
  </si>
  <si>
    <t>AUTH-06</t>
  </si>
  <si>
    <t>deleteAccountAction() calls delete_user RPC and signs out on success</t>
  </si>
  <si>
    <t>DB row removed, session ended</t>
  </si>
  <si>
    <t>AUTH-07</t>
  </si>
  <si>
    <t>deleteAccountAction() surfaces RPC errors</t>
  </si>
  <si>
    <t>throws with the RPC error message</t>
  </si>
  <si>
    <t xml:space="preserve">  1.2 Middleware — middleware.ts</t>
  </si>
  <si>
    <t>MW-01</t>
  </si>
  <si>
    <t>Logged-in user hits /</t>
  </si>
  <si>
    <t>redirected to /explore</t>
  </si>
  <si>
    <t>MW-02</t>
  </si>
  <si>
    <t>Anonymous user hits /</t>
  </si>
  <si>
    <t>served the landing page (no redirect)</t>
  </si>
  <si>
    <t>MW-03</t>
  </si>
  <si>
    <t>Static/api/image paths excluded by the matcher</t>
  </si>
  <si>
    <t>middleware does not run</t>
  </si>
  <si>
    <t>MW-04</t>
  </si>
  <si>
    <t>Expired session cookie</t>
  </si>
  <si>
    <t>session refresh path executes; new cookies set on response</t>
  </si>
  <si>
    <t xml:space="preserve">  1.3 Projects — actions/project.ts</t>
  </si>
  <si>
    <t>PROJ-01</t>
  </si>
  <si>
    <t>createProject rejects unauthenticated requests</t>
  </si>
  <si>
    <t>throws Unauthorized</t>
  </si>
  <si>
    <t>PROJ-02</t>
  </si>
  <si>
    <t>createProject inserts row with owner_id = user.id</t>
  </si>
  <si>
    <t>row persisted, redirect to /dashboard/&lt;id&gt;</t>
  </si>
  <si>
    <t>PROJ-03</t>
  </si>
  <si>
    <t>createProject returns { error } when Supabase insert fails</t>
  </si>
  <si>
    <t>no redirect, error surfaced to client form</t>
  </si>
  <si>
    <t>PROJ-04</t>
  </si>
  <si>
    <t>updateProject updates only name, app_url, description</t>
  </si>
  <si>
    <t>other columns untouched</t>
  </si>
  <si>
    <t>PROJ-05</t>
  </si>
  <si>
    <t>updateProject ignores foreign projectId (RLS)</t>
  </si>
  <si>
    <t>error returned, no rows changed</t>
  </si>
  <si>
    <t xml:space="preserve">  1.4 Missions — actions/missions.ts</t>
  </si>
  <si>
    <t>MISS-01</t>
  </si>
  <si>
    <t>createMission with intent="publish" sets is_active=true</t>
  </si>
  <si>
    <t>mission visible on /explore</t>
  </si>
  <si>
    <t>MISS-02</t>
  </si>
  <si>
    <t>createMission with intent="draft" sets is_active=false</t>
  </si>
  <si>
    <t>mission hidden from /explore, visible on owner dashboard</t>
  </si>
  <si>
    <t>MISS-03</t>
  </si>
  <si>
    <t>updateMission toggles is_active based on intent</t>
  </si>
  <si>
    <t>reflected in DB and revalidated paths</t>
  </si>
  <si>
    <t>MISS-04</t>
  </si>
  <si>
    <t>deleteMission removes mission and revalidates /dashboard/&lt;projectId&gt;</t>
  </si>
  <si>
    <t>mission gone from owner views</t>
  </si>
  <si>
    <t>MISS-05</t>
  </si>
  <si>
    <t>toggleMissionStatus updates is_active and revalidates /explore</t>
  </si>
  <si>
    <t>status flip visible to testers</t>
  </si>
  <si>
    <t>MISS-06</t>
  </si>
  <si>
    <t>All mission actions reject unauthenticated callers</t>
  </si>
  <si>
    <t>throw Unauthorized</t>
  </si>
  <si>
    <t xml:space="preserve">  1.5 Submissions / AI — actions/submissions.ts, lib/ai</t>
  </si>
  <si>
    <t>SUB-01</t>
  </si>
  <si>
    <t>submitTestResult blocks unauthenticated submission</t>
  </si>
  <si>
    <t>{ success: false, error: "...logged in..." }</t>
  </si>
  <si>
    <t>SUB-02</t>
  </si>
  <si>
    <t>submitTestResult rejects when tester is the project owner</t>
  </si>
  <si>
    <t>{ success: false, error: "...own project..." }</t>
  </si>
  <si>
    <t>SUB-03</t>
  </si>
  <si>
    <t>Screenshot upload happens before DB insert</t>
  </si>
  <si>
    <t>failed upload short-circuits with error</t>
  </si>
  <si>
    <t>SUB-04</t>
  </si>
  <si>
    <t>AI analysis failure is non-fatal</t>
  </si>
  <si>
    <t>row still inserted; ai_summary empty, sentiment NEUTRAL</t>
  </si>
  <si>
    <t>SUB-05</t>
  </si>
  <si>
    <t>parseSentiment returns POSITIVE/NEUTRAL/FRUSTRATED correctly</t>
  </si>
  <si>
    <t>matches Gemini output mapping</t>
  </si>
  <si>
    <t>SUB-06</t>
  </si>
  <si>
    <t>Successful submission revalidates /dashboard and /explore</t>
  </si>
  <si>
    <t>new submission visible to owner &amp; explore page</t>
  </si>
  <si>
    <t xml:space="preserve">  1.6 Admin Broadcast — actions/admin/broadcast.ts</t>
  </si>
  <si>
    <t>ADM-01</t>
  </si>
  <si>
    <t>Non-admin caller</t>
  </si>
  <si>
    <t>Not authorized error</t>
  </si>
  <si>
    <t>ADM-02</t>
  </si>
  <si>
    <t>Zod validation: subject &lt; 3 chars</t>
  </si>
  <si>
    <t>fieldErrors.subject returned</t>
  </si>
  <si>
    <t>ADM-03</t>
  </si>
  <si>
    <t>Zod validation: body &lt; 10 chars</t>
  </si>
  <si>
    <t>fieldErrors.messageBody returned</t>
  </si>
  <si>
    <t>ADM-04</t>
  </si>
  <si>
    <t>targetType="single" without targetEmail</t>
  </si>
  <si>
    <t>validation error on targetEmail</t>
  </si>
  <si>
    <t>ADM-05</t>
  </si>
  <si>
    <t>CTA label without CTA URL (or vice versa)</t>
  </si>
  <si>
    <t>validation error on ctaUrl</t>
  </si>
  <si>
    <t>ADM-06</t>
  </si>
  <si>
    <t>targetType="all" deduplicates emails by lowercase</t>
  </si>
  <si>
    <t>each address mailed once</t>
  </si>
  <si>
    <t>ADM-07</t>
  </si>
  <si>
    <t>Recipients grouped by greeting (full_name or "there")</t>
  </si>
  <si>
    <t>one batch email per greeting group</t>
  </si>
  <si>
    <t>ADM-08</t>
  </si>
  <si>
    <t>sendAdminBroadcast called with computed to, subject, ctaLabel, ctaUrl</t>
  </si>
  <si>
    <t>mocked mail client receives expected payload</t>
  </si>
  <si>
    <t>ADM-09</t>
  </si>
  <si>
    <t>Empty recipient list</t>
  </si>
  <si>
    <t>{ success: false, error: "No recipients found." }</t>
  </si>
  <si>
    <t xml:space="preserve">  1.7 Email &amp; Notifications — emails/, lib/mail.ts</t>
  </si>
  <si>
    <t>MAIL-01</t>
  </si>
  <si>
    <t>Feedback notification renders with tester name, mission title, summary</t>
  </si>
  <si>
    <t>snapshot matches expected HTML</t>
  </si>
  <si>
    <t>MAIL-02</t>
  </si>
  <si>
    <t>Admin broadcast renders CTA only when both label and URL present</t>
  </si>
  <si>
    <t>conditional block respected</t>
  </si>
  <si>
    <t>MAIL-03</t>
  </si>
  <si>
    <t>Mail client failure returns { sent: 0 } rather than throwing</t>
  </si>
  <si>
    <t>broadcast count still returned</t>
  </si>
  <si>
    <t xml:space="preserve">  1.8 Webhook — app/api/webhooks/submission</t>
  </si>
  <si>
    <t>WH-01</t>
  </si>
  <si>
    <t>Authenticated webhook (valid secret) triggers email to project owner</t>
  </si>
  <si>
    <t>mail dispatched</t>
  </si>
  <si>
    <t>WH-02</t>
  </si>
  <si>
    <t>Missing/invalid signature</t>
  </si>
  <si>
    <t>401 response, no mail sent</t>
  </si>
  <si>
    <t>WH-03</t>
  </si>
  <si>
    <t>Payload referencing nonexistent mission</t>
  </si>
  <si>
    <t>404 response</t>
  </si>
  <si>
    <t xml:space="preserve">  1.9 Type &amp; Lint Gates</t>
  </si>
  <si>
    <t>QA-01</t>
  </si>
  <si>
    <t>npx tsc --noEmit</t>
  </si>
  <si>
    <t>passes with zero errors</t>
  </si>
  <si>
    <t>QA-02</t>
  </si>
  <si>
    <t>npm run lint</t>
  </si>
  <si>
    <t>passes; no new any casts introduced</t>
  </si>
  <si>
    <t>QA-03</t>
  </si>
  <si>
    <t>npm run build</t>
  </si>
  <si>
    <t>builds cleanly for production</t>
  </si>
  <si>
    <t>TownHall — 2 · QA Tester</t>
  </si>
  <si>
    <t xml:space="preserve">  2.1 Onboarding &amp; Auth</t>
  </si>
  <si>
    <t>QA-2.1-1</t>
  </si>
  <si>
    <t>Visit / while logged out → landing page renders, 'Sign in with Google' visible</t>
  </si>
  <si>
    <t>No issues</t>
  </si>
  <si>
    <t>Done</t>
  </si>
  <si>
    <t>QA-2.1-2</t>
  </si>
  <si>
    <t>Click 'Sign in with Google' → Google OAuth completes → land on /explore</t>
  </si>
  <si>
    <t>QA-2.1-3</t>
  </si>
  <si>
    <t>Refresh / while logged in → redirected to /explore (middleware check)</t>
  </si>
  <si>
    <t>QA-2.1-4</t>
  </si>
  <si>
    <t>Open /settings → 'Delete account' prompts confirmation, deletes profile, signs out</t>
  </si>
  <si>
    <t>QA-2.1-5</t>
  </si>
  <si>
    <t>Sign out from any page → redirected to /, session cleared (back button cannot reach /dashboard)</t>
  </si>
  <si>
    <t>Back button reaches dashboard after logout.</t>
  </si>
  <si>
    <t xml:space="preserve">  2.2 Developer Flow — Submit a Project</t>
  </si>
  <si>
    <t>QA-2.2-1</t>
  </si>
  <si>
    <t>/dashboard shows current user's projects (empty state when none)</t>
  </si>
  <si>
    <t>QA-2.2-2</t>
  </si>
  <si>
    <t>/dashboard/new requires name, app_url, category and a 1-2 sentence summary (max 200 chars); rejects empty fields</t>
  </si>
  <si>
    <t>RETEST - form changed in feat/project-category</t>
  </si>
  <si>
    <t>QA-2.2-3</t>
  </si>
  <si>
    <t>Submitting with an invalid URL surfaces a clear validation error</t>
  </si>
  <si>
    <t>QA-2.2-4</t>
  </si>
  <si>
    <t>Successful create → redirect to /dashboard/&lt;projectId&gt; with project details rendered</t>
  </si>
  <si>
    <t>QA-2.2-5</t>
  </si>
  <si>
    <t>Edit project name/URL/description → changes persist after refresh</t>
  </si>
  <si>
    <t xml:space="preserve">  2.3 Developer Flow — Create &amp; Manage Missions</t>
  </si>
  <si>
    <t>QA-2.3-1</t>
  </si>
  <si>
    <t>From a project page, 'Create mission' form requires title and task_description</t>
  </si>
  <si>
    <t>QA-2.3-2</t>
  </si>
  <si>
    <t>Saving as draft → mission appears on dashboard, NOT on /explore</t>
  </si>
  <si>
    <t>QA-2.3-3</t>
  </si>
  <si>
    <t>Saving as published → mission appears on dashboard AND on /explore</t>
  </si>
  <si>
    <t>QA-2.3-4</t>
  </si>
  <si>
    <t>Toggle mission is_active → reflected immediately on /explore (after revalidation)</t>
  </si>
  <si>
    <t>QA-2.3-5</t>
  </si>
  <si>
    <t>Delete mission → removed from dashboard; existing submissions still readable</t>
  </si>
  <si>
    <t>Successfully deleted but an error page loads briefly before returning to one of the projects page.</t>
  </si>
  <si>
    <t>QA-2.3-6</t>
  </si>
  <si>
    <t>Editing a mission keeps its id; tester URLs remain valid</t>
  </si>
  <si>
    <t xml:space="preserve">  2.4 Tester Flow — Discover &amp; Test</t>
  </si>
  <si>
    <t>QA-2.4-1</t>
  </si>
  <si>
    <t>/explore lists only active missions; drafts are hidden</t>
  </si>
  <si>
    <t>QA-2.4-2</t>
  </si>
  <si>
    <t>Developer-user must NOT see a 'Submit test' button on their own missions</t>
  </si>
  <si>
    <t>QA-2.4-3</t>
  </si>
  <si>
    <t>Open /mission/[id] as a different user: each test-case step shows the builder's action and expected result verbatim, above the tester's own fields</t>
  </si>
  <si>
    <t>RETEST - comment box replaced by the audit log</t>
  </si>
  <si>
    <t>QA-2.4-4</t>
  </si>
  <si>
    <t>Submitting without a screenshot, or with any step unanswered, is blocked; a step marked Fail also requires issue summary and steps to reproduce</t>
  </si>
  <si>
    <t>RETEST - validation is per-step now</t>
  </si>
  <si>
    <t>QA-2.4-5</t>
  </si>
  <si>
    <t>Submit valid feedback → success state; submission appears in project owner's feedback view</t>
  </si>
  <si>
    <t>QA-2.4-6</t>
  </si>
  <si>
    <t>Submitting on a mission whose project you own → 'cannot submit a test for your own project' error</t>
  </si>
  <si>
    <t xml:space="preserve">  2.5 AI Analysis</t>
  </si>
  <si>
    <t>QA-2.5-1</t>
  </si>
  <si>
    <t>New submission with positive comment → AI summary populated, sentiment chip = POSITIVE</t>
  </si>
  <si>
    <t>QA-2.5-2</t>
  </si>
  <si>
    <t>New submission with frustrated comment → sentiment chip = FRUSTRATED</t>
  </si>
  <si>
    <t>QA-2.5-3</t>
  </si>
  <si>
    <t>Simulate Gemini outage → submission still saves; empty summary, sentiment defaults to NEUTRAL</t>
  </si>
  <si>
    <t xml:space="preserve">  2.6 Notifications &amp; Email</t>
  </si>
  <si>
    <t>QA-2.6-1</t>
  </si>
  <si>
    <t>Project owner receives an email when a new submission is filed on their mission</t>
  </si>
  <si>
    <t>QA-2.6-2</t>
  </si>
  <si>
    <t>Email subject and body match submission content (tester name, mission title, AI summary)</t>
  </si>
  <si>
    <t>QA-2.6-3</t>
  </si>
  <si>
    <t>Unsubscribe / no-reply formatting renders correctly across Gmail web, Gmail mobile, Outlook</t>
  </si>
  <si>
    <t>In Progress</t>
  </si>
  <si>
    <t xml:space="preserve">  2.7 Admin Console — /admin</t>
  </si>
  <si>
    <t>QA-2.7-1</t>
  </si>
  <si>
    <t>Non-admin accessing /admin → blocked / redirected</t>
  </si>
  <si>
    <t>QA-2.7-2</t>
  </si>
  <si>
    <t>/admin/users lists all profiles with role, email, full name; search/filter works</t>
  </si>
  <si>
    <t>QA-2.7-3</t>
  </si>
  <si>
    <t>/admin/projects, /admin/missions, /admin/submissions paginate without 500s</t>
  </si>
  <si>
    <t>QA-2.7-4</t>
  </si>
  <si>
    <t>/admin/ai-reports renders without crashing when there are zero results</t>
  </si>
  <si>
    <t>QA-2.7-5</t>
  </si>
  <si>
    <t>'All users' send → preview rendered; submit dispatches; success toast shows count matching unique emails</t>
  </si>
  <si>
    <t>QA-2.7-6</t>
  </si>
  <si>
    <t>'Single user' send to unknown email → still sends and reports count: 1</t>
  </si>
  <si>
    <t>N/A</t>
  </si>
  <si>
    <t>QA-2.7-7</t>
  </si>
  <si>
    <t>Subject &lt; 3 chars or body &lt; 10 chars → inline form error, no send</t>
  </si>
  <si>
    <t>QA-2.7-8</t>
  </si>
  <si>
    <t>CTA label only OR URL only → inline error, no send</t>
  </si>
  <si>
    <t>QA-2.7-9</t>
  </si>
  <si>
    <t>CTA label and URL both provided → email body shows CTA button</t>
  </si>
  <si>
    <t xml:space="preserve">  2.8 Cross-cutting / Regression</t>
  </si>
  <si>
    <t>QA-2.8-1</t>
  </si>
  <si>
    <t>Light mode + dark mode pass the same flows visually</t>
  </si>
  <si>
    <t>No option to change to light mode</t>
  </si>
  <si>
    <t>QA-2.8-2</t>
  </si>
  <si>
    <t>Resize to mobile breakpoint (≤ 480 px) on /explore, /dashboard, /admin → no horizontal scroll, nav collapses</t>
  </si>
  <si>
    <t>UI broke</t>
  </si>
  <si>
    <t>QA-2.8-3</t>
  </si>
  <si>
    <t>Reload mid-form → unsaved warning prevents accidental data loss (where applicable)</t>
  </si>
  <si>
    <t>No warnings pop-up</t>
  </si>
  <si>
    <t>QA-2.8-4</t>
  </si>
  <si>
    <t>404 page (/not-found) renders for unknown routes</t>
  </si>
  <si>
    <t xml:space="preserve">  2.9 v2 - Categories, Test Cases &amp; the Audit Log</t>
  </si>
  <si>
    <t>QA-2.9-1</t>
  </si>
  <si>
    <t>Project category saves and renders as a chip on Explore; a project without one shows 'Uncategorised'</t>
  </si>
  <si>
    <t>New in the v2 testing model</t>
  </si>
  <si>
    <t>QA-2.9-2</t>
  </si>
  <si>
    <t>Explore category filter lists only categories actually in use; Clear filters resets it with search and sort</t>
  </si>
  <si>
    <t>QA-2.9-3</t>
  </si>
  <si>
    <t>Editing a project whose summary predates the 200-char cap is blocked until it is trimmed</t>
  </si>
  <si>
    <t>QA-2.9-4</t>
  </si>
  <si>
    <t>Test-case editor: pick a category, then add / remove / reorder steps; 1-15 enforced</t>
  </si>
  <si>
    <t>QA-2.9-5</t>
  </si>
  <si>
    <t>Starting from a template prefills its steps and every one stays editable</t>
  </si>
  <si>
    <t>QA-2.9-6</t>
  </si>
  <si>
    <t>Reordering or editing steps preserves their ids - check test_steps on the row in the database</t>
  </si>
  <si>
    <t>QA-2.9-7</t>
  </si>
  <si>
    <t>Device target saves and shows as a chip on the mission card and detail page</t>
  </si>
  <si>
    <t>QA-2.9-8</t>
  </si>
  <si>
    <t>Editing a mission with no steps shows the empty-state prompt rather than crashing</t>
  </si>
  <si>
    <t>QA-2.9-9</t>
  </si>
  <si>
    <t>Audit log: marking a step Fail reveals issue summary and steps to reproduce, and requires both</t>
  </si>
  <si>
    <t>QA-2.9-10</t>
  </si>
  <si>
    <t>Audit log: Expected Result is prefilled from the builder's step and can be edited</t>
  </si>
  <si>
    <t>QA-2.9-11</t>
  </si>
  <si>
    <t>A half-finished audit log survives closing and reopening the tab, and clears after a successful submit</t>
  </si>
  <si>
    <t>QA-2.9-12</t>
  </si>
  <si>
    <t>A mission with no test steps falls back to comment + screenshots and is still submittable</t>
  </si>
  <si>
    <t>QA-2.9-13</t>
  </si>
  <si>
    <t>Builder sees 'N of M steps passed' on a new submission without expanding it</t>
  </si>
  <si>
    <t>QA-2.9-14</t>
  </si>
  <si>
    <t>Legacy submissions (comment, no entries) render alongside new ones without looking broken</t>
  </si>
  <si>
    <t>QA-2.9-15</t>
  </si>
  <si>
    <t>Editing a mission's steps after a submission does not change what that submission shows</t>
  </si>
  <si>
    <t xml:space="preserve">  2.10 UX polish — error focus, focus rings, optional notes, audit fields</t>
  </si>
  <si>
    <t>QA-2.10-1</t>
  </si>
  <si>
    <t>Submitting any form with a required field empty scrolls that field into view and focuses it — try /dashboard/new empty, and the mission form with a blank test step.</t>
  </si>
  <si>
    <t>New in the UX polish pass</t>
  </si>
  <si>
    <t>QA-2.10-2</t>
  </si>
  <si>
    <t>The mission form sends you to the FIRST error on the page, not the first one the schema found — a blank step beats the notes below it.</t>
  </si>
  <si>
    <t>QA-2.10-3</t>
  </si>
  <si>
    <t>Submitting twice without fixing anything moves you both times.</t>
  </si>
  <si>
    <t>QA-2.10-4</t>
  </si>
  <si>
    <t>Tab through the sidebar with the keyboard: the builder/tester switch and every nav item show a voltage focus ring, against both dark surfaces.</t>
  </si>
  <si>
    <t>QA-2.10-5</t>
  </si>
  <si>
    <t>With OS 'reduce motion' on, the jump to an errored field is instant rather than smooth.</t>
  </si>
  <si>
    <t>QA-2.10-6</t>
  </si>
  <si>
    <t>An incomplete audit log names the step: 'Step 4 needs an answer.', scrolls to that card, focuses its first empty field, and outlines it.</t>
  </si>
  <si>
    <t>QA-2.10-7</t>
  </si>
  <si>
    <t>Create a mission with 'Add notes for testers' unchecked — it saves, and the mission renders with no empty heading on the tester page, the builder page and /admin.</t>
  </si>
  <si>
    <t>QA-2.10-8</t>
  </si>
  <si>
    <t>Editing a mission that already has notes opens with the box checked and the text intact.</t>
  </si>
  <si>
    <t>QA-2.10-9</t>
  </si>
  <si>
    <t>Notes with 5 characters are refused, with a message offering both ways out.</t>
  </si>
  <si>
    <t>QA-2.10-10</t>
  </si>
  <si>
    <t>A step marked Pass is not asked what actually happened — only what you expected.</t>
  </si>
  <si>
    <t>QA-2.10-11</t>
  </si>
  <si>
    <t>A step marked Blocked IS asked what happened, for a summary and for steps to reproduce, and all three are required to submit.</t>
  </si>
  <si>
    <t>QA-2.10-12</t>
  </si>
  <si>
    <t>A submission containing a passing step renders on the builder side with no bare 'Actual:' label.</t>
  </si>
  <si>
    <t>QA-2.10-13</t>
  </si>
  <si>
    <t>The tester tour's first step points at the test case and reads correctly on a mission with no notes.</t>
  </si>
  <si>
    <t>QA-2.10-14</t>
  </si>
  <si>
    <t>The screenshot section reads 'Screenshots of Your Test'; the builder side reads 'TEST SCREENSHOTS'; no 'Proof of Visit' anywhere.</t>
  </si>
  <si>
    <t>QA-2.10-15</t>
  </si>
  <si>
    <t>There is one button in the tester's CTA row, and a line under it saying answers save on this device. Reload mid-log — answers restored.</t>
  </si>
  <si>
    <t xml:space="preserve">  2.11 Bug fix round 1 — found on an Android phone</t>
  </si>
  <si>
    <t>QA-2.11-1</t>
  </si>
  <si>
    <t>On a tester account, Settings → Account reads "Builder account" and the button says "Add builder account" (or "Switch to builder account" if you hold both) — never "tester". Tapping Switch lands on the dashboard.</t>
  </si>
  <si>
    <t>New in bug fix round 1</t>
  </si>
  <si>
    <t>QA-2.11-2</t>
  </si>
  <si>
    <t>On a builder account, the same section still reads "Tester account" with the original copy about earning reports.</t>
  </si>
  <si>
    <t>QA-2.11-3</t>
  </si>
  <si>
    <t>On a tester account, Settings has no Plan tab, and /settings?tab=plan opens Profile.</t>
  </si>
  <si>
    <t>QA-2.11-4</t>
  </si>
  <si>
    <t>As a new user on /choose-account at 360px, tapping a card changes its label to "Creating…" at once and BOTH cards lock; tapping the other card does nothing.</t>
  </si>
  <si>
    <t>QA-2.11-5</t>
  </si>
  <si>
    <t>After creating an account you land straight on the profile form (/verify/[role]) — a loading skeleton shows while it opens, and the dashboard never flashes first.</t>
  </si>
  <si>
    <t>QA-2.11-6</t>
  </si>
  <si>
    <t>On the verification form, selecting Botswana shows a +267 example under Phone; changing the country updates it.</t>
  </si>
  <si>
    <t>QA-2.11-7</t>
  </si>
  <si>
    <t>With Botswana selected, a Nigerian number (+234 801 234 5678) is rejected on the Phone field with a message naming Botswana.</t>
  </si>
  <si>
    <t>QA-2.11-8</t>
  </si>
  <si>
    <t>A +1 number is accepted with United States selected and with Canada selected.</t>
  </si>
  <si>
    <t>QA-2.11-9</t>
  </si>
  <si>
    <t>On a tester account, Settings → Account has no "Export your data" section; on a builder with no feedback it is still there with "Nothing to export yet".</t>
  </si>
  <si>
    <t>QA-2.11-10</t>
  </si>
  <si>
    <t>On a tester account, Settings → Activity reads "Your testing" with Reports written, Approved and Average rating — no Reports received, no Give / take, nothing about pay. An unrated tester sees "—".</t>
  </si>
  <si>
    <t>QA-2.11-11</t>
  </si>
  <si>
    <t>On a UI Design mission, each step asks "What you saw" first, and the choices read Clear / Unclear / Couldn't tell under "Did the builder's expectation hold?".</t>
  </si>
  <si>
    <t>QA-2.11-12</t>
  </si>
  <si>
    <t>On a UI Design mission, marking Clear with an empty or very short description cannot be submitted — the form names the step and focuses "What you saw".</t>
  </si>
  <si>
    <t>QA-2.11-13</t>
  </si>
  <si>
    <t>On a Process Flow or Component mission, the choices still read Pass / Fail / Blocked and a Pass with nothing written still submits.</t>
  </si>
  <si>
    <t xml:space="preserve">  2.12 AI shadow metering — ai_usage_events</t>
  </si>
  <si>
    <t>QA-2.12-1</t>
  </si>
  <si>
    <t>With the ai_usage_events insert failing (table renamed or revoked on staging), submit a test: the submission saves, the builder sees it, and the AI summary still populates. One "[recordAiUsage]" line in the server log.</t>
  </si>
  <si>
    <t>New in AI shadow metering</t>
  </si>
  <si>
    <t>QA-2.12-2</t>
  </si>
  <si>
    <t>Submit a test normally: exactly one ai_usage_events row, status succeeded, with token counts and a cost; /admin/ai-reports shows it in this month's spend. With Gemini unavailable, the row is status failed with the error.</t>
  </si>
  <si>
    <t xml:space="preserve">  2.13 Report allowance — publish, cap, release</t>
  </si>
  <si>
    <t>QA-2.13-1</t>
  </si>
  <si>
    <t>A brand-new Community builder publishes a mission → it goes live open to 3 testers, and the mission page says it is open to 3 testers with a "Write a report for someone else" link.</t>
  </si>
  <si>
    <t>New in report allowance</t>
  </si>
  <si>
    <t>QA-2.13-2</t>
  </si>
  <si>
    <t>The same builder publishes a second mission → it stays a draft, and the mission page says there are no reports available, with links to write a report and to get in touch about Pro.</t>
  </si>
  <si>
    <t>QA-2.13-3</t>
  </si>
  <si>
    <t>The builder switches to tester, submits a report on someone else's mission, switches back → the new-mission form now says "You have 1 report available".</t>
  </si>
  <si>
    <t>QA-2.13-4</t>
  </si>
  <si>
    <t>A mission open to 3 testers leaves Explore after its third report; the builder sees it as inactive.</t>
  </si>
  <si>
    <t>QA-2.13-5</t>
  </si>
  <si>
    <t>Deactivate a live mission that has 1 of 3 reports → the new-mission form shows 2 more available. Reactivate and deactivate again → still correct, never more.</t>
  </si>
  <si>
    <t>QA-2.13-6</t>
  </si>
  <si>
    <t>Create an account, then add the other role → the balance is 3, not 6.</t>
  </si>
  <si>
    <t>QA-2.13-7</t>
  </si>
  <si>
    <t>A Community builder with 2 live missions tries to publish a third → it stays a draft and the page names the 2-mission limit.</t>
  </si>
  <si>
    <t>QA-2.13-8</t>
  </si>
  <si>
    <t>A tester submits on a mission whose builder has 0 reports available → the submission succeeds.</t>
  </si>
  <si>
    <t>QA-2.13-9</t>
  </si>
  <si>
    <t>/admin shows "Uncredited reports" at 0.</t>
  </si>
  <si>
    <t xml:space="preserve">  2.14 One report per mission</t>
  </si>
  <si>
    <t>QA-2.14-1</t>
  </si>
  <si>
    <t>After submitting a report on a mission, reopening it shows "You've tested this mission" instead of the form. Submitting again from a tab opened earlier is refused with "You've already submitted a report for this mission."</t>
  </si>
  <si>
    <t>New in one report per mission</t>
  </si>
  <si>
    <t>QA-2.14-2</t>
  </si>
  <si>
    <t>A different tester can still submit on the same mission.</t>
  </si>
  <si>
    <t xml:space="preserve">  2.15 Cohort payouts</t>
  </si>
  <si>
    <t>QA-2.15-1</t>
  </si>
  <si>
    <t>In /admin/users, tick "Paid cohort" on a tester → the change appears under "Recent plan and cohort changes" with your name. A user with no tester account shows "No tester account".</t>
  </si>
  <si>
    <t>New in cohort payouts</t>
  </si>
  <si>
    <t>QA-2.15-2</t>
  </si>
  <si>
    <t>Set a builder to Pro, then back to Community → both changes are logged; the builder's settings Plan tab reads Community.</t>
  </si>
  <si>
    <t>QA-2.15-3</t>
  </si>
  <si>
    <t>As a cohort tester, Explore and Browse Missions do not list a mission published from earned credit only; opening it by URL shows "This mission isn't paid for cohort testers".</t>
  </si>
  <si>
    <t>QA-2.15-4</t>
  </si>
  <si>
    <t>A cohort tester submits on a Pro builder's mission → /admin/payouts for this month shows 1 paid report and ₦1,000.</t>
  </si>
  <si>
    <t>QA-2.15-5</t>
  </si>
  <si>
    <t>The month total on /admin/payouts matches the "Month total" row of the downloaded CSV.</t>
  </si>
  <si>
    <t>QA-2.15-6</t>
  </si>
  <si>
    <t>Take a tester out of the cohort → last month's payout sheet is unchanged.</t>
  </si>
  <si>
    <t xml:space="preserve">  2.16 Rate limiting</t>
  </si>
  <si>
    <t>QA-2.16-1</t>
  </si>
  <si>
    <t>Enter a wrong password eleven times in a row on one address → "Too many attempts. Try again in N minutes." Do the same on an address with no account → the same message, just as fast. The message never states how many attempts are allowed.</t>
  </si>
  <si>
    <t>New in rate limiting</t>
  </si>
  <si>
    <t>QA-2.16-2</t>
  </si>
  <si>
    <t>The limited sign-in message renders in danger-ink on both light and dark themes, and wraps cleanly at 360px width.</t>
  </si>
  <si>
    <t>QA-2.16-3</t>
  </si>
  <si>
    <t>As a tester, submit reports on eleven different missions within an hour → the eleventh is refused with "Try again in N minutes" and no screenshots are uploaded.</t>
  </si>
  <si>
    <t>QA-2.16-4</t>
  </si>
  <si>
    <t>With rate_limit_hit unavailable on staging (execute revoked from service_role): sign-in still works and the server log shows "[rate-limit] store unavailable, degrading"; a test submission is refused with "Try again in a minute".</t>
  </si>
  <si>
    <t>QA-2.16-5</t>
  </si>
  <si>
    <t>Set RATE_LIMIT_DISABLED=true and redeploy → the eleven wrong passwords are all answered "That email and password do not match."; every check logs "[rate-limit] DISABLED". Unset it and redeploy → limits are back.</t>
  </si>
  <si>
    <t>TownHall — 3 · End-User Sanity</t>
  </si>
  <si>
    <t xml:space="preserve">  3.1 As a Developer-User</t>
  </si>
  <si>
    <t>EU-3.1-1</t>
  </si>
  <si>
    <t>I can sign in — Click 'Sign in with Google'; land on /explore after consent</t>
  </si>
  <si>
    <t>EU-3.1-2</t>
  </si>
  <si>
    <t>I can submit a project — /dashboard/new, fill the form, save; project appears on /dashboard</t>
  </si>
  <si>
    <t>EU-3.1-3</t>
  </si>
  <si>
    <t>I can publish a mission — create mission with intent 'publish'; it appears on /explore</t>
  </si>
  <si>
    <t>EU-3.1-4</t>
  </si>
  <si>
    <t>My mission is testable by others — open URL in different browser/account; 'Submit test' form available</t>
  </si>
  <si>
    <t>EU-3.1-5</t>
  </si>
  <si>
    <t>I receive feedback — tester submits → I get email + submission shows with screenshot, comment, AI summary</t>
  </si>
  <si>
    <t>EU-3.1-6</t>
  </si>
  <si>
    <t>I can pause testing — toggle mission off; disappears from /explore within a few seconds</t>
  </si>
  <si>
    <t>EU-3.1-7</t>
  </si>
  <si>
    <t>I can edit my project details — name/URL/description update without breaking existing missions</t>
  </si>
  <si>
    <t>EU-3.1-8</t>
  </si>
  <si>
    <t>I can delete my account — /settings → Delete account removes my data, signs me out; fresh profile on re-login</t>
  </si>
  <si>
    <t xml:space="preserve">  3.2 As a Tester-User</t>
  </si>
  <si>
    <t>EU-3.2-1</t>
  </si>
  <si>
    <t>I can browse missions — /explore lists missions other than my own</t>
  </si>
  <si>
    <t>EU-3.2-2</t>
  </si>
  <si>
    <t>I can open a mission — clicking a card opens /mission/[id] with task description</t>
  </si>
  <si>
    <t>EU-3.2-3</t>
  </si>
  <si>
    <t>I can submit feedback - work through each step marking pass/fail/blocked, attach a screenshot, submit; get a success state</t>
  </si>
  <si>
    <t>RETEST - submission is an audit log now</t>
  </si>
  <si>
    <t>EU-3.2-4</t>
  </si>
  <si>
    <t>I cannot test my own projects — my missions show 'cannot test your own project' message</t>
  </si>
  <si>
    <t>EU-3.2-5</t>
  </si>
  <si>
    <t>My activity is visible — /explore/activity shows missions I have completed</t>
  </si>
  <si>
    <t xml:space="preserve">  3.3 As an Admin</t>
  </si>
  <si>
    <t>EU-3.3-1</t>
  </si>
  <si>
    <t>I can reach /admin — admin sidebar visible, no page returns a 403</t>
  </si>
  <si>
    <t>EU-3.3-2</t>
  </si>
  <si>
    <t>I can send a broadcast — /admin/email 'All users' with valid subject/body sends and reports recipient count</t>
  </si>
  <si>
    <t>3+ char subject, 10+ char body</t>
  </si>
  <si>
    <t>EU-3.3-3</t>
  </si>
  <si>
    <t>I can target a single user — 'Single user' mode with valid email sends to that address only</t>
  </si>
  <si>
    <t>EU-3.3-4</t>
  </si>
  <si>
    <t>I can review submissions — /admin/submissions shows all; /admin/ai-reports aggregates sentiment</t>
  </si>
  <si>
    <t xml:space="preserve">  3.4 v2 - As a Tester and Builder</t>
  </si>
  <si>
    <t>EU-3.4-1</t>
  </si>
  <si>
    <t>As a tester I can see exactly what the builder asked for on every step, without hunting for it</t>
  </si>
  <si>
    <t>EU-3.4-2</t>
  </si>
  <si>
    <t>As a builder I can tell which steps failed without opening the whole log</t>
  </si>
  <si>
    <t>TownHall — 4 · Release Checklist</t>
  </si>
  <si>
    <t xml:space="preserve">  5. Release Checklist — Before merging to main</t>
  </si>
  <si>
    <t>REL-01</t>
  </si>
  <si>
    <t>All engineer tests in §1 are green in CI</t>
  </si>
  <si>
    <t>Automated suite must pass</t>
  </si>
  <si>
    <t>REL-02</t>
  </si>
  <si>
    <t>QA has signed off on §2 (or filed tickets for any failures)</t>
  </si>
  <si>
    <t>Manual QA sign-off required</t>
  </si>
  <si>
    <t>REL-03</t>
  </si>
  <si>
    <t>Manual smoke-test of §3.1, §3.2, §3.3 on staging by actual user in each role</t>
  </si>
  <si>
    <t>One account per role</t>
  </si>
  <si>
    <t>REL-04</t>
  </si>
  <si>
    <t>npm run build succeeds and bundle size has not regressed by &gt; 10%</t>
  </si>
  <si>
    <t>Check build output</t>
  </si>
  <si>
    <t>REL-05</t>
  </si>
  <si>
    <t>No new as any casts added (see ARCHITECTURE.md — known tech debt)</t>
  </si>
  <si>
    <t>Lint gate should catch</t>
  </si>
  <si>
    <t>REL-06</t>
  </si>
  <si>
    <t>Database migrations (if any) applied to staging and verified</t>
  </si>
  <si>
    <t>Check migration log</t>
  </si>
  <si>
    <t xml:space="preserve">  Environment — Verify before E2E run</t>
  </si>
  <si>
    <t>ENV-01</t>
  </si>
  <si>
    <t>NEXT_PUBLIC_SUPABASE_URL is set and points to staging project</t>
  </si>
  <si>
    <t>Not production DB</t>
  </si>
  <si>
    <t>ENV-02</t>
  </si>
  <si>
    <t>NEXT_PUBLIC_SUPABASE_ANON_KEY is correct for staging project</t>
  </si>
  <si>
    <t>ENV-03</t>
  </si>
  <si>
    <t>GEMINI_API_KEY is staging-specific (separate quota from production)</t>
  </si>
  <si>
    <t>ENV-04</t>
  </si>
  <si>
    <t>NEXT_PUBLIC_SITE_URL is set to staging domain</t>
  </si>
  <si>
    <t>ENV-05</t>
  </si>
  <si>
    <t>Email provider is in sandbox/test mode (e.g. Mailtrap / Resend test)</t>
  </si>
  <si>
    <t>No real emails sent</t>
  </si>
  <si>
    <t>ENV-06</t>
  </si>
  <si>
    <t>Seed DB: 2 dev-users, 2 tester-users, 1 admin, 2 projects, 4 missions (2 active/2 draft), 3 submissions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</si>
</sst>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1F4E79"/>
      <name val="Arial"/>
      <charset val="1"/>
    </font>
    <font>
      <b/>
      <sz val="10"/>
      <color rgb="FFFFFFFF"/>
      <name val="Arial"/>
      <charset val="1"/>
    </font>
    <font>
      <sz val="12"/>
      <color rgb="FF595959"/>
      <name val="Arial"/>
      <charset val="1"/>
    </font>
    <font>
      <b/>
      <sz val="9"/>
      <color rgb="FF2E75B6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11"/>
      <color rgb="FF2E75B6"/>
      <name val="Arial"/>
      <charset val="1"/>
    </font>
    <font>
      <b/>
      <sz val="11"/>
      <color rgb="FF00B0A0"/>
      <name val="Arial"/>
      <charset val="1"/>
    </font>
    <font>
      <b/>
      <sz val="11"/>
      <color rgb="FFC55A11"/>
      <name val="Arial"/>
      <charset val="1"/>
    </font>
    <font>
      <sz val="12"/>
      <color rgb="FFFF0000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  <font>
      <sz val="11"/>
      <color rgb="FFFF0000"/>
      <name val="Calibri"/>
      <family val="2"/>
      <charset val="1"/>
    </font>
    <font>
      <sz val="9"/>
      <color rgb="FF000000"/>
      <name val="Arial"/>
      <family val="2"/>
    </font>
    <font>
      <i/>
      <sz val="9"/>
      <color rgb="FF595959"/>
      <name val="Arial"/>
      <family val="2"/>
    </font>
    <font>
      <i/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2"/>
      <color rgb="FF595959"/>
      <name val="Arial"/>
      <family val="2"/>
      <charset val="1"/>
    </font>
    <font>
      <sz val="12"/>
      <color theme="4"/>
      <name val="Arial"/>
      <family val="2"/>
    </font>
    <font>
      <b/>
      <sz val="9"/>
      <color theme="4"/>
      <name val="Arial"/>
      <family val="2"/>
    </font>
    <font>
      <sz val="9"/>
      <color theme="4"/>
      <name val="Arial"/>
      <family val="2"/>
    </font>
    <font>
      <i/>
      <sz val="9"/>
      <color theme="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9" fontId="3" fillId="3" borderId="0" xfId="0" applyNumberFormat="1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  <xf numFmtId="9" fontId="9" fillId="3" borderId="0" xfId="0" applyNumberFormat="1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9" fontId="10" fillId="3" borderId="0" xfId="0" applyNumberFormat="1" applyFont="1" applyFill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9" fontId="11" fillId="3" borderId="0" xfId="0" applyNumberFormat="1" applyFont="1" applyFill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0" fontId="15" fillId="9" borderId="2" xfId="0" applyFont="1" applyFill="1" applyBorder="1" applyAlignment="1">
      <alignment horizontal="left" vertical="center" wrapText="1"/>
    </xf>
    <xf numFmtId="0" fontId="14" fillId="8" borderId="2" xfId="0" applyFont="1" applyFill="1" applyBorder="1" applyAlignment="1">
      <alignment horizontal="center" vertical="center" wrapText="1"/>
    </xf>
    <xf numFmtId="0" fontId="16" fillId="0" borderId="0" xfId="0" applyFont="1"/>
    <xf numFmtId="0" fontId="18" fillId="3" borderId="2" xfId="0" applyFont="1" applyFill="1" applyBorder="1" applyAlignment="1">
      <alignment horizontal="left" vertical="center" wrapText="1"/>
    </xf>
    <xf numFmtId="0" fontId="18" fillId="4" borderId="2" xfId="0" applyFont="1" applyFill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3" borderId="2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left" vertical="center" wrapText="1"/>
    </xf>
    <xf numFmtId="0" fontId="15" fillId="11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left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showGridLines="0" zoomScaleNormal="100" workbookViewId="0">
      <pane ySplit="3" topLeftCell="A62" activePane="bottomLeft" state="frozen"/>
      <selection pane="bottomLeft" activeCell="G73" sqref="G73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2" t="s">
        <v>0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0 / 46 items completed</v>
      </c>
      <c r="B2" s="51"/>
      <c r="C2" s="51"/>
      <c r="D2" s="51"/>
      <c r="E2" s="1">
        <f>IFERROR(COUNTIF(E4:E2000,"Done")/COUNTA(B4:B2000),0)</f>
        <v>0</v>
      </c>
    </row>
    <row r="3" spans="1:5" ht="21.75" customHeight="1" x14ac:dyDescent="0.3">
      <c r="A3" s="2"/>
      <c r="B3" s="2" t="s">
        <v>1</v>
      </c>
      <c r="C3" s="2" t="s">
        <v>2</v>
      </c>
      <c r="D3" s="2" t="s">
        <v>3</v>
      </c>
      <c r="E3" s="2" t="s">
        <v>4</v>
      </c>
    </row>
    <row r="4" spans="1:5" ht="19.5" customHeight="1" x14ac:dyDescent="0.3">
      <c r="A4" s="50" t="s">
        <v>5</v>
      </c>
      <c r="B4" s="51"/>
      <c r="C4" s="51"/>
      <c r="D4" s="51"/>
      <c r="E4" s="51"/>
    </row>
    <row r="5" spans="1:5" ht="21.75" customHeight="1" x14ac:dyDescent="0.3">
      <c r="A5" s="3" t="s">
        <v>6</v>
      </c>
      <c r="B5" s="4" t="s">
        <v>7</v>
      </c>
      <c r="C5" s="5" t="s">
        <v>8</v>
      </c>
      <c r="D5" s="6" t="s">
        <v>9</v>
      </c>
      <c r="E5" s="7" t="s">
        <v>10</v>
      </c>
    </row>
    <row r="6" spans="1:5" ht="30" customHeight="1" x14ac:dyDescent="0.3">
      <c r="A6" s="3" t="s">
        <v>6</v>
      </c>
      <c r="B6" s="8" t="s">
        <v>11</v>
      </c>
      <c r="C6" s="9" t="s">
        <v>12</v>
      </c>
      <c r="D6" s="10" t="s">
        <v>13</v>
      </c>
      <c r="E6" s="7" t="s">
        <v>10</v>
      </c>
    </row>
    <row r="7" spans="1:5" ht="30" customHeight="1" x14ac:dyDescent="0.3">
      <c r="A7" s="3" t="s">
        <v>6</v>
      </c>
      <c r="B7" s="4" t="s">
        <v>14</v>
      </c>
      <c r="C7" s="5" t="s">
        <v>15</v>
      </c>
      <c r="D7" s="6" t="s">
        <v>16</v>
      </c>
      <c r="E7" s="7" t="s">
        <v>10</v>
      </c>
    </row>
    <row r="8" spans="1:5" ht="21.75" customHeight="1" x14ac:dyDescent="0.3">
      <c r="A8" s="3" t="s">
        <v>6</v>
      </c>
      <c r="B8" s="8" t="s">
        <v>17</v>
      </c>
      <c r="C8" s="9" t="s">
        <v>18</v>
      </c>
      <c r="D8" s="10" t="s">
        <v>19</v>
      </c>
      <c r="E8" s="7" t="s">
        <v>10</v>
      </c>
    </row>
    <row r="9" spans="1:5" ht="21.75" customHeight="1" x14ac:dyDescent="0.3">
      <c r="A9" s="3" t="s">
        <v>6</v>
      </c>
      <c r="B9" s="4" t="s">
        <v>20</v>
      </c>
      <c r="C9" s="5" t="s">
        <v>21</v>
      </c>
      <c r="D9" s="6" t="s">
        <v>22</v>
      </c>
      <c r="E9" s="7" t="s">
        <v>10</v>
      </c>
    </row>
    <row r="10" spans="1:5" ht="21.75" customHeight="1" x14ac:dyDescent="0.3">
      <c r="A10" s="3" t="s">
        <v>6</v>
      </c>
      <c r="B10" s="8" t="s">
        <v>23</v>
      </c>
      <c r="C10" s="9" t="s">
        <v>24</v>
      </c>
      <c r="D10" s="10" t="s">
        <v>25</v>
      </c>
      <c r="E10" s="7" t="s">
        <v>10</v>
      </c>
    </row>
    <row r="11" spans="1:5" ht="21.75" customHeight="1" x14ac:dyDescent="0.3">
      <c r="A11" s="3" t="s">
        <v>6</v>
      </c>
      <c r="B11" s="4" t="s">
        <v>26</v>
      </c>
      <c r="C11" s="5" t="s">
        <v>27</v>
      </c>
      <c r="D11" s="6" t="s">
        <v>28</v>
      </c>
      <c r="E11" s="7" t="s">
        <v>10</v>
      </c>
    </row>
    <row r="13" spans="1:5" ht="19.5" customHeight="1" x14ac:dyDescent="0.3">
      <c r="A13" s="50" t="s">
        <v>29</v>
      </c>
      <c r="B13" s="51"/>
      <c r="C13" s="51"/>
      <c r="D13" s="51"/>
      <c r="E13" s="51"/>
    </row>
    <row r="14" spans="1:5" ht="21.75" customHeight="1" x14ac:dyDescent="0.3">
      <c r="A14" s="3" t="s">
        <v>6</v>
      </c>
      <c r="B14" s="8" t="s">
        <v>30</v>
      </c>
      <c r="C14" s="9" t="s">
        <v>31</v>
      </c>
      <c r="D14" s="10" t="s">
        <v>32</v>
      </c>
      <c r="E14" s="7" t="s">
        <v>10</v>
      </c>
    </row>
    <row r="15" spans="1:5" ht="21.75" customHeight="1" x14ac:dyDescent="0.3">
      <c r="A15" s="3" t="s">
        <v>6</v>
      </c>
      <c r="B15" s="4" t="s">
        <v>33</v>
      </c>
      <c r="C15" s="5" t="s">
        <v>34</v>
      </c>
      <c r="D15" s="6" t="s">
        <v>35</v>
      </c>
      <c r="E15" s="7" t="s">
        <v>10</v>
      </c>
    </row>
    <row r="16" spans="1:5" ht="21.75" customHeight="1" x14ac:dyDescent="0.3">
      <c r="A16" s="3" t="s">
        <v>6</v>
      </c>
      <c r="B16" s="8" t="s">
        <v>36</v>
      </c>
      <c r="C16" s="9" t="s">
        <v>37</v>
      </c>
      <c r="D16" s="10" t="s">
        <v>38</v>
      </c>
      <c r="E16" s="7" t="s">
        <v>10</v>
      </c>
    </row>
    <row r="17" spans="1:5" ht="21.75" customHeight="1" x14ac:dyDescent="0.3">
      <c r="A17" s="3" t="s">
        <v>6</v>
      </c>
      <c r="B17" s="4" t="s">
        <v>39</v>
      </c>
      <c r="C17" s="5" t="s">
        <v>40</v>
      </c>
      <c r="D17" s="6" t="s">
        <v>41</v>
      </c>
      <c r="E17" s="7" t="s">
        <v>10</v>
      </c>
    </row>
    <row r="19" spans="1:5" ht="19.5" customHeight="1" x14ac:dyDescent="0.3">
      <c r="A19" s="50" t="s">
        <v>42</v>
      </c>
      <c r="B19" s="51"/>
      <c r="C19" s="51"/>
      <c r="D19" s="51"/>
      <c r="E19" s="51"/>
    </row>
    <row r="20" spans="1:5" ht="21.75" customHeight="1" x14ac:dyDescent="0.3">
      <c r="A20" s="3" t="s">
        <v>6</v>
      </c>
      <c r="B20" s="8" t="s">
        <v>43</v>
      </c>
      <c r="C20" s="9" t="s">
        <v>44</v>
      </c>
      <c r="D20" s="10" t="s">
        <v>45</v>
      </c>
      <c r="E20" s="7" t="s">
        <v>10</v>
      </c>
    </row>
    <row r="21" spans="1:5" ht="21.75" customHeight="1" x14ac:dyDescent="0.3">
      <c r="A21" s="3" t="s">
        <v>6</v>
      </c>
      <c r="B21" s="4" t="s">
        <v>46</v>
      </c>
      <c r="C21" s="5" t="s">
        <v>47</v>
      </c>
      <c r="D21" s="6" t="s">
        <v>48</v>
      </c>
      <c r="E21" s="7" t="s">
        <v>10</v>
      </c>
    </row>
    <row r="22" spans="1:5" ht="21.75" customHeight="1" x14ac:dyDescent="0.3">
      <c r="A22" s="3" t="s">
        <v>6</v>
      </c>
      <c r="B22" s="8" t="s">
        <v>49</v>
      </c>
      <c r="C22" s="9" t="s">
        <v>50</v>
      </c>
      <c r="D22" s="10" t="s">
        <v>51</v>
      </c>
      <c r="E22" s="7" t="s">
        <v>10</v>
      </c>
    </row>
    <row r="23" spans="1:5" ht="21.75" customHeight="1" x14ac:dyDescent="0.3">
      <c r="A23" s="3" t="s">
        <v>6</v>
      </c>
      <c r="B23" s="4" t="s">
        <v>52</v>
      </c>
      <c r="C23" s="5" t="s">
        <v>53</v>
      </c>
      <c r="D23" s="6" t="s">
        <v>54</v>
      </c>
      <c r="E23" s="7" t="s">
        <v>10</v>
      </c>
    </row>
    <row r="24" spans="1:5" ht="21.75" customHeight="1" x14ac:dyDescent="0.3">
      <c r="A24" s="3" t="s">
        <v>6</v>
      </c>
      <c r="B24" s="8" t="s">
        <v>55</v>
      </c>
      <c r="C24" s="9" t="s">
        <v>56</v>
      </c>
      <c r="D24" s="10" t="s">
        <v>57</v>
      </c>
      <c r="E24" s="7" t="s">
        <v>10</v>
      </c>
    </row>
    <row r="26" spans="1:5" ht="19.5" customHeight="1" x14ac:dyDescent="0.3">
      <c r="A26" s="50" t="s">
        <v>58</v>
      </c>
      <c r="B26" s="51"/>
      <c r="C26" s="51"/>
      <c r="D26" s="51"/>
      <c r="E26" s="51"/>
    </row>
    <row r="27" spans="1:5" ht="21.75" customHeight="1" x14ac:dyDescent="0.3">
      <c r="A27" s="3" t="s">
        <v>6</v>
      </c>
      <c r="B27" s="4" t="s">
        <v>59</v>
      </c>
      <c r="C27" s="5" t="s">
        <v>60</v>
      </c>
      <c r="D27" s="6" t="s">
        <v>61</v>
      </c>
      <c r="E27" s="7" t="s">
        <v>10</v>
      </c>
    </row>
    <row r="28" spans="1:5" ht="21.75" customHeight="1" x14ac:dyDescent="0.3">
      <c r="A28" s="3" t="s">
        <v>6</v>
      </c>
      <c r="B28" s="8" t="s">
        <v>62</v>
      </c>
      <c r="C28" s="9" t="s">
        <v>63</v>
      </c>
      <c r="D28" s="10" t="s">
        <v>64</v>
      </c>
      <c r="E28" s="7" t="s">
        <v>10</v>
      </c>
    </row>
    <row r="29" spans="1:5" ht="21.75" customHeight="1" x14ac:dyDescent="0.3">
      <c r="A29" s="3" t="s">
        <v>6</v>
      </c>
      <c r="B29" s="4" t="s">
        <v>65</v>
      </c>
      <c r="C29" s="5" t="s">
        <v>66</v>
      </c>
      <c r="D29" s="6" t="s">
        <v>67</v>
      </c>
      <c r="E29" s="7" t="s">
        <v>10</v>
      </c>
    </row>
    <row r="30" spans="1:5" ht="21.75" customHeight="1" x14ac:dyDescent="0.3">
      <c r="A30" s="3" t="s">
        <v>6</v>
      </c>
      <c r="B30" s="8" t="s">
        <v>68</v>
      </c>
      <c r="C30" s="9" t="s">
        <v>69</v>
      </c>
      <c r="D30" s="10" t="s">
        <v>70</v>
      </c>
      <c r="E30" s="7" t="s">
        <v>10</v>
      </c>
    </row>
    <row r="31" spans="1:5" ht="21.75" customHeight="1" x14ac:dyDescent="0.3">
      <c r="A31" s="3" t="s">
        <v>6</v>
      </c>
      <c r="B31" s="4" t="s">
        <v>71</v>
      </c>
      <c r="C31" s="5" t="s">
        <v>72</v>
      </c>
      <c r="D31" s="6" t="s">
        <v>73</v>
      </c>
      <c r="E31" s="7" t="s">
        <v>10</v>
      </c>
    </row>
    <row r="32" spans="1:5" ht="21.75" customHeight="1" x14ac:dyDescent="0.3">
      <c r="A32" s="3" t="s">
        <v>6</v>
      </c>
      <c r="B32" s="8" t="s">
        <v>74</v>
      </c>
      <c r="C32" s="9" t="s">
        <v>75</v>
      </c>
      <c r="D32" s="10" t="s">
        <v>76</v>
      </c>
      <c r="E32" s="7" t="s">
        <v>10</v>
      </c>
    </row>
    <row r="34" spans="1:5" ht="19.5" customHeight="1" x14ac:dyDescent="0.3">
      <c r="A34" s="50" t="s">
        <v>77</v>
      </c>
      <c r="B34" s="51"/>
      <c r="C34" s="51"/>
      <c r="D34" s="51"/>
      <c r="E34" s="51"/>
    </row>
    <row r="35" spans="1:5" ht="21.75" customHeight="1" x14ac:dyDescent="0.3">
      <c r="A35" s="3" t="s">
        <v>6</v>
      </c>
      <c r="B35" s="4" t="s">
        <v>78</v>
      </c>
      <c r="C35" s="5" t="s">
        <v>79</v>
      </c>
      <c r="D35" s="6" t="s">
        <v>80</v>
      </c>
      <c r="E35" s="7" t="s">
        <v>10</v>
      </c>
    </row>
    <row r="36" spans="1:5" ht="21.75" customHeight="1" x14ac:dyDescent="0.3">
      <c r="A36" s="3" t="s">
        <v>6</v>
      </c>
      <c r="B36" s="8" t="s">
        <v>81</v>
      </c>
      <c r="C36" s="9" t="s">
        <v>82</v>
      </c>
      <c r="D36" s="10" t="s">
        <v>83</v>
      </c>
      <c r="E36" s="7" t="s">
        <v>10</v>
      </c>
    </row>
    <row r="37" spans="1:5" ht="21.75" customHeight="1" x14ac:dyDescent="0.3">
      <c r="A37" s="3" t="s">
        <v>6</v>
      </c>
      <c r="B37" s="4" t="s">
        <v>84</v>
      </c>
      <c r="C37" s="5" t="s">
        <v>85</v>
      </c>
      <c r="D37" s="6" t="s">
        <v>86</v>
      </c>
      <c r="E37" s="7" t="s">
        <v>10</v>
      </c>
    </row>
    <row r="38" spans="1:5" ht="21.75" customHeight="1" x14ac:dyDescent="0.3">
      <c r="A38" s="3" t="s">
        <v>6</v>
      </c>
      <c r="B38" s="8" t="s">
        <v>87</v>
      </c>
      <c r="C38" s="9" t="s">
        <v>88</v>
      </c>
      <c r="D38" s="10" t="s">
        <v>89</v>
      </c>
      <c r="E38" s="7" t="s">
        <v>10</v>
      </c>
    </row>
    <row r="39" spans="1:5" ht="21.75" customHeight="1" x14ac:dyDescent="0.3">
      <c r="A39" s="3" t="s">
        <v>6</v>
      </c>
      <c r="B39" s="4" t="s">
        <v>90</v>
      </c>
      <c r="C39" s="5" t="s">
        <v>91</v>
      </c>
      <c r="D39" s="6" t="s">
        <v>92</v>
      </c>
      <c r="E39" s="7" t="s">
        <v>10</v>
      </c>
    </row>
    <row r="40" spans="1:5" ht="21.75" customHeight="1" x14ac:dyDescent="0.3">
      <c r="A40" s="3" t="s">
        <v>6</v>
      </c>
      <c r="B40" s="8" t="s">
        <v>93</v>
      </c>
      <c r="C40" s="9" t="s">
        <v>94</v>
      </c>
      <c r="D40" s="10" t="s">
        <v>95</v>
      </c>
      <c r="E40" s="7" t="s">
        <v>10</v>
      </c>
    </row>
    <row r="42" spans="1:5" ht="19.5" customHeight="1" x14ac:dyDescent="0.3">
      <c r="A42" s="50" t="s">
        <v>96</v>
      </c>
      <c r="B42" s="51"/>
      <c r="C42" s="51"/>
      <c r="D42" s="51"/>
      <c r="E42" s="51"/>
    </row>
    <row r="43" spans="1:5" ht="21.75" customHeight="1" x14ac:dyDescent="0.3">
      <c r="A43" s="3" t="s">
        <v>6</v>
      </c>
      <c r="B43" s="4" t="s">
        <v>97</v>
      </c>
      <c r="C43" s="5" t="s">
        <v>98</v>
      </c>
      <c r="D43" s="6" t="s">
        <v>99</v>
      </c>
      <c r="E43" s="7" t="s">
        <v>10</v>
      </c>
    </row>
    <row r="44" spans="1:5" ht="21.75" customHeight="1" x14ac:dyDescent="0.3">
      <c r="A44" s="3" t="s">
        <v>6</v>
      </c>
      <c r="B44" s="8" t="s">
        <v>100</v>
      </c>
      <c r="C44" s="9" t="s">
        <v>101</v>
      </c>
      <c r="D44" s="10" t="s">
        <v>102</v>
      </c>
      <c r="E44" s="7" t="s">
        <v>10</v>
      </c>
    </row>
    <row r="45" spans="1:5" ht="21.75" customHeight="1" x14ac:dyDescent="0.3">
      <c r="A45" s="3" t="s">
        <v>6</v>
      </c>
      <c r="B45" s="4" t="s">
        <v>103</v>
      </c>
      <c r="C45" s="5" t="s">
        <v>104</v>
      </c>
      <c r="D45" s="6" t="s">
        <v>105</v>
      </c>
      <c r="E45" s="7" t="s">
        <v>10</v>
      </c>
    </row>
    <row r="46" spans="1:5" ht="21.75" customHeight="1" x14ac:dyDescent="0.3">
      <c r="A46" s="3" t="s">
        <v>6</v>
      </c>
      <c r="B46" s="8" t="s">
        <v>106</v>
      </c>
      <c r="C46" s="9" t="s">
        <v>107</v>
      </c>
      <c r="D46" s="10" t="s">
        <v>108</v>
      </c>
      <c r="E46" s="7" t="s">
        <v>10</v>
      </c>
    </row>
    <row r="47" spans="1:5" ht="21.75" customHeight="1" x14ac:dyDescent="0.3">
      <c r="A47" s="3" t="s">
        <v>6</v>
      </c>
      <c r="B47" s="4" t="s">
        <v>109</v>
      </c>
      <c r="C47" s="5" t="s">
        <v>110</v>
      </c>
      <c r="D47" s="6" t="s">
        <v>111</v>
      </c>
      <c r="E47" s="7" t="s">
        <v>10</v>
      </c>
    </row>
    <row r="48" spans="1:5" ht="21.75" customHeight="1" x14ac:dyDescent="0.3">
      <c r="A48" s="3" t="s">
        <v>6</v>
      </c>
      <c r="B48" s="8" t="s">
        <v>112</v>
      </c>
      <c r="C48" s="9" t="s">
        <v>113</v>
      </c>
      <c r="D48" s="10" t="s">
        <v>114</v>
      </c>
      <c r="E48" s="7" t="s">
        <v>10</v>
      </c>
    </row>
    <row r="49" spans="1:5" ht="21.75" customHeight="1" x14ac:dyDescent="0.3">
      <c r="A49" s="3" t="s">
        <v>6</v>
      </c>
      <c r="B49" s="4" t="s">
        <v>115</v>
      </c>
      <c r="C49" s="5" t="s">
        <v>116</v>
      </c>
      <c r="D49" s="6" t="s">
        <v>117</v>
      </c>
      <c r="E49" s="7" t="s">
        <v>10</v>
      </c>
    </row>
    <row r="50" spans="1:5" ht="21.75" customHeight="1" x14ac:dyDescent="0.3">
      <c r="A50" s="3" t="s">
        <v>6</v>
      </c>
      <c r="B50" s="8" t="s">
        <v>118</v>
      </c>
      <c r="C50" s="9" t="s">
        <v>119</v>
      </c>
      <c r="D50" s="10" t="s">
        <v>120</v>
      </c>
      <c r="E50" s="7" t="s">
        <v>10</v>
      </c>
    </row>
    <row r="51" spans="1:5" ht="21.75" customHeight="1" x14ac:dyDescent="0.3">
      <c r="A51" s="3" t="s">
        <v>6</v>
      </c>
      <c r="B51" s="4" t="s">
        <v>121</v>
      </c>
      <c r="C51" s="5" t="s">
        <v>122</v>
      </c>
      <c r="D51" s="6" t="s">
        <v>123</v>
      </c>
      <c r="E51" s="7" t="s">
        <v>10</v>
      </c>
    </row>
    <row r="53" spans="1:5" ht="19.5" customHeight="1" x14ac:dyDescent="0.3">
      <c r="A53" s="50" t="s">
        <v>124</v>
      </c>
      <c r="B53" s="51"/>
      <c r="C53" s="51"/>
      <c r="D53" s="51"/>
      <c r="E53" s="51"/>
    </row>
    <row r="54" spans="1:5" ht="21.75" customHeight="1" x14ac:dyDescent="0.3">
      <c r="A54" s="3" t="s">
        <v>6</v>
      </c>
      <c r="B54" s="8" t="s">
        <v>125</v>
      </c>
      <c r="C54" s="9" t="s">
        <v>126</v>
      </c>
      <c r="D54" s="10" t="s">
        <v>127</v>
      </c>
      <c r="E54" s="7" t="s">
        <v>10</v>
      </c>
    </row>
    <row r="55" spans="1:5" ht="21.75" customHeight="1" x14ac:dyDescent="0.3">
      <c r="A55" s="3" t="s">
        <v>6</v>
      </c>
      <c r="B55" s="4" t="s">
        <v>128</v>
      </c>
      <c r="C55" s="5" t="s">
        <v>129</v>
      </c>
      <c r="D55" s="6" t="s">
        <v>130</v>
      </c>
      <c r="E55" s="7" t="s">
        <v>10</v>
      </c>
    </row>
    <row r="56" spans="1:5" ht="21.75" customHeight="1" x14ac:dyDescent="0.3">
      <c r="A56" s="3" t="s">
        <v>6</v>
      </c>
      <c r="B56" s="8" t="s">
        <v>131</v>
      </c>
      <c r="C56" s="9" t="s">
        <v>132</v>
      </c>
      <c r="D56" s="10" t="s">
        <v>133</v>
      </c>
      <c r="E56" s="7" t="s">
        <v>10</v>
      </c>
    </row>
    <row r="58" spans="1:5" ht="19.5" customHeight="1" x14ac:dyDescent="0.3">
      <c r="A58" s="50" t="s">
        <v>134</v>
      </c>
      <c r="B58" s="51"/>
      <c r="C58" s="51"/>
      <c r="D58" s="51"/>
      <c r="E58" s="51"/>
    </row>
    <row r="59" spans="1:5" ht="21.75" customHeight="1" x14ac:dyDescent="0.3">
      <c r="A59" s="3" t="s">
        <v>6</v>
      </c>
      <c r="B59" s="4" t="s">
        <v>135</v>
      </c>
      <c r="C59" s="5" t="s">
        <v>136</v>
      </c>
      <c r="D59" s="6" t="s">
        <v>137</v>
      </c>
      <c r="E59" s="7" t="s">
        <v>10</v>
      </c>
    </row>
    <row r="60" spans="1:5" ht="21.75" customHeight="1" x14ac:dyDescent="0.3">
      <c r="A60" s="3" t="s">
        <v>6</v>
      </c>
      <c r="B60" s="8" t="s">
        <v>138</v>
      </c>
      <c r="C60" s="9" t="s">
        <v>139</v>
      </c>
      <c r="D60" s="10" t="s">
        <v>140</v>
      </c>
      <c r="E60" s="7" t="s">
        <v>10</v>
      </c>
    </row>
    <row r="61" spans="1:5" ht="21.75" customHeight="1" x14ac:dyDescent="0.3">
      <c r="A61" s="3" t="s">
        <v>6</v>
      </c>
      <c r="B61" s="4" t="s">
        <v>141</v>
      </c>
      <c r="C61" s="5" t="s">
        <v>142</v>
      </c>
      <c r="D61" s="6" t="s">
        <v>143</v>
      </c>
      <c r="E61" s="7" t="s">
        <v>10</v>
      </c>
    </row>
    <row r="63" spans="1:5" ht="19.5" customHeight="1" x14ac:dyDescent="0.3">
      <c r="A63" s="50" t="s">
        <v>144</v>
      </c>
      <c r="B63" s="51"/>
      <c r="C63" s="51"/>
      <c r="D63" s="51"/>
      <c r="E63" s="51"/>
    </row>
    <row r="64" spans="1:5" ht="21.75" customHeight="1" x14ac:dyDescent="0.3">
      <c r="A64" s="3" t="s">
        <v>6</v>
      </c>
      <c r="B64" s="8" t="s">
        <v>145</v>
      </c>
      <c r="C64" s="9" t="s">
        <v>146</v>
      </c>
      <c r="D64" s="10" t="s">
        <v>147</v>
      </c>
      <c r="E64" s="7" t="s">
        <v>10</v>
      </c>
    </row>
    <row r="65" spans="1:5" ht="21.75" customHeight="1" x14ac:dyDescent="0.3">
      <c r="A65" s="3" t="s">
        <v>6</v>
      </c>
      <c r="B65" s="4" t="s">
        <v>148</v>
      </c>
      <c r="C65" s="5" t="s">
        <v>149</v>
      </c>
      <c r="D65" s="6" t="s">
        <v>150</v>
      </c>
      <c r="E65" s="7" t="s">
        <v>10</v>
      </c>
    </row>
    <row r="66" spans="1:5" ht="21.75" customHeight="1" x14ac:dyDescent="0.3">
      <c r="A66" s="3" t="s">
        <v>6</v>
      </c>
      <c r="B66" s="8" t="s">
        <v>151</v>
      </c>
      <c r="C66" s="9" t="s">
        <v>152</v>
      </c>
      <c r="D66" s="10" t="s">
        <v>153</v>
      </c>
      <c r="E66" s="7" t="s">
        <v>10</v>
      </c>
    </row>
  </sheetData>
  <mergeCells count="11">
    <mergeCell ref="A63:E63"/>
    <mergeCell ref="A1:E1"/>
    <mergeCell ref="A13:E13"/>
    <mergeCell ref="A2:D2"/>
    <mergeCell ref="A58:E58"/>
    <mergeCell ref="A53:E53"/>
    <mergeCell ref="A34:E34"/>
    <mergeCell ref="A4:E4"/>
    <mergeCell ref="A26:E26"/>
    <mergeCell ref="A42:E42"/>
    <mergeCell ref="A19:E19"/>
  </mergeCells>
  <conditionalFormatting sqref="A5:E11">
    <cfRule type="expression" dxfId="65" priority="2">
      <formula>$E5="Done"</formula>
    </cfRule>
    <cfRule type="expression" dxfId="64" priority="3">
      <formula>$E5="Blocked"</formula>
    </cfRule>
    <cfRule type="expression" dxfId="63" priority="4">
      <formula>$E5="In Progress"</formula>
    </cfRule>
  </conditionalFormatting>
  <conditionalFormatting sqref="A14:E17">
    <cfRule type="expression" dxfId="62" priority="23">
      <formula>$E14="Done"</formula>
    </cfRule>
    <cfRule type="expression" dxfId="61" priority="24">
      <formula>$E14="Blocked"</formula>
    </cfRule>
    <cfRule type="expression" dxfId="60" priority="25">
      <formula>$E14="In Progress"</formula>
    </cfRule>
  </conditionalFormatting>
  <conditionalFormatting sqref="A20:E24">
    <cfRule type="expression" dxfId="59" priority="35">
      <formula>$E20="Done"</formula>
    </cfRule>
    <cfRule type="expression" dxfId="58" priority="36">
      <formula>$E20="Blocked"</formula>
    </cfRule>
    <cfRule type="expression" dxfId="57" priority="37">
      <formula>$E20="In Progress"</formula>
    </cfRule>
  </conditionalFormatting>
  <conditionalFormatting sqref="A27:E32">
    <cfRule type="expression" dxfId="56" priority="50">
      <formula>$E27="Done"</formula>
    </cfRule>
    <cfRule type="expression" dxfId="55" priority="51">
      <formula>$E27="Blocked"</formula>
    </cfRule>
    <cfRule type="expression" dxfId="54" priority="52">
      <formula>$E27="In Progress"</formula>
    </cfRule>
  </conditionalFormatting>
  <conditionalFormatting sqref="A35:E40">
    <cfRule type="expression" dxfId="53" priority="68">
      <formula>$E35="Done"</formula>
    </cfRule>
    <cfRule type="expression" dxfId="52" priority="69">
      <formula>$E35="Blocked"</formula>
    </cfRule>
    <cfRule type="expression" dxfId="51" priority="70">
      <formula>$E35="In Progress"</formula>
    </cfRule>
  </conditionalFormatting>
  <conditionalFormatting sqref="A43:E51">
    <cfRule type="expression" dxfId="50" priority="86">
      <formula>$E43="Done"</formula>
    </cfRule>
    <cfRule type="expression" dxfId="49" priority="87">
      <formula>$E43="Blocked"</formula>
    </cfRule>
    <cfRule type="expression" dxfId="48" priority="88">
      <formula>$E43="In Progress"</formula>
    </cfRule>
  </conditionalFormatting>
  <conditionalFormatting sqref="A54:E56">
    <cfRule type="expression" dxfId="47" priority="113">
      <formula>$E54="Done"</formula>
    </cfRule>
    <cfRule type="expression" dxfId="46" priority="114">
      <formula>$E54="Blocked"</formula>
    </cfRule>
    <cfRule type="expression" dxfId="45" priority="115">
      <formula>$E54="In Progress"</formula>
    </cfRule>
  </conditionalFormatting>
  <conditionalFormatting sqref="A59:E61">
    <cfRule type="expression" dxfId="44" priority="122">
      <formula>$E59="Done"</formula>
    </cfRule>
    <cfRule type="expression" dxfId="43" priority="123">
      <formula>$E59="Blocked"</formula>
    </cfRule>
    <cfRule type="expression" dxfId="42" priority="124">
      <formula>$E59="In Progress"</formula>
    </cfRule>
  </conditionalFormatting>
  <conditionalFormatting sqref="A64:E66">
    <cfRule type="expression" dxfId="41" priority="131">
      <formula>$E64="Done"</formula>
    </cfRule>
    <cfRule type="expression" dxfId="40" priority="132">
      <formula>$E64="Blocked"</formula>
    </cfRule>
    <cfRule type="expression" dxfId="39" priority="133">
      <formula>$E64="In Progress"</formula>
    </cfRule>
  </conditionalFormatting>
  <dataValidations count="1">
    <dataValidation type="list" allowBlank="1" sqref="E5:E11 E14:E17 E20:E24 E27:E32 E35:E40 E43:E51 E54:E56 E59:E61 E64:E66" xr:uid="{00000000-0002-0000-00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8"/>
  <sheetViews>
    <sheetView showGridLines="0" tabSelected="1" zoomScaleNormal="100" workbookViewId="0">
      <pane ySplit="3" topLeftCell="A88" activePane="bottomLeft" state="frozen"/>
      <selection pane="bottomLeft" activeCell="E117" sqref="E117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5" t="s">
        <v>154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86 / 108 items completed</v>
      </c>
      <c r="B2" s="51"/>
      <c r="C2" s="51"/>
      <c r="D2" s="51"/>
      <c r="E2" s="11">
        <f>IFERROR(COUNTIF(E4:E2000,"Done")/COUNTA(B4:B2000),0)</f>
        <v>0.79629629629629628</v>
      </c>
    </row>
    <row r="3" spans="1:5" ht="21.75" customHeight="1" x14ac:dyDescent="0.3">
      <c r="A3" s="12"/>
      <c r="B3" s="12" t="s">
        <v>1</v>
      </c>
      <c r="C3" s="12" t="s">
        <v>2</v>
      </c>
      <c r="D3" s="12" t="s">
        <v>3</v>
      </c>
      <c r="E3" s="12" t="s">
        <v>4</v>
      </c>
    </row>
    <row r="4" spans="1:5" ht="19.5" customHeight="1" x14ac:dyDescent="0.3">
      <c r="A4" s="54" t="s">
        <v>155</v>
      </c>
      <c r="B4" s="51"/>
      <c r="C4" s="51"/>
      <c r="D4" s="51"/>
      <c r="E4" s="51"/>
    </row>
    <row r="5" spans="1:5" ht="30" customHeight="1" x14ac:dyDescent="0.3">
      <c r="A5" s="3" t="s">
        <v>6</v>
      </c>
      <c r="B5" s="4" t="s">
        <v>156</v>
      </c>
      <c r="C5" s="5" t="s">
        <v>157</v>
      </c>
      <c r="D5" s="6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160</v>
      </c>
      <c r="C6" s="9" t="s">
        <v>161</v>
      </c>
      <c r="D6" s="10" t="s">
        <v>158</v>
      </c>
      <c r="E6" s="7" t="s">
        <v>159</v>
      </c>
    </row>
    <row r="7" spans="1:5" ht="21.75" customHeight="1" x14ac:dyDescent="0.3">
      <c r="A7" s="3" t="s">
        <v>6</v>
      </c>
      <c r="B7" s="4" t="s">
        <v>162</v>
      </c>
      <c r="C7" s="5" t="s">
        <v>163</v>
      </c>
      <c r="D7" s="6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164</v>
      </c>
      <c r="C8" s="9" t="s">
        <v>165</v>
      </c>
      <c r="D8" s="10" t="s">
        <v>158</v>
      </c>
      <c r="E8" s="7" t="s">
        <v>159</v>
      </c>
    </row>
    <row r="9" spans="1:5" s="22" customFormat="1" ht="30" customHeight="1" x14ac:dyDescent="0.3">
      <c r="A9" s="17" t="s">
        <v>6</v>
      </c>
      <c r="B9" s="18" t="s">
        <v>166</v>
      </c>
      <c r="C9" s="19" t="s">
        <v>167</v>
      </c>
      <c r="D9" s="20" t="s">
        <v>168</v>
      </c>
      <c r="E9" s="21" t="s">
        <v>159</v>
      </c>
    </row>
    <row r="11" spans="1:5" ht="19.5" customHeight="1" x14ac:dyDescent="0.3">
      <c r="A11" s="54" t="s">
        <v>169</v>
      </c>
      <c r="B11" s="51"/>
      <c r="C11" s="51"/>
      <c r="D11" s="51"/>
      <c r="E11" s="51"/>
    </row>
    <row r="12" spans="1:5" ht="21.75" customHeight="1" x14ac:dyDescent="0.3">
      <c r="A12" s="3" t="s">
        <v>6</v>
      </c>
      <c r="B12" s="8" t="s">
        <v>170</v>
      </c>
      <c r="C12" s="9" t="s">
        <v>171</v>
      </c>
      <c r="D12" s="23" t="s">
        <v>158</v>
      </c>
      <c r="E12" s="7" t="s">
        <v>159</v>
      </c>
    </row>
    <row r="13" spans="1:5" ht="30" customHeight="1" x14ac:dyDescent="0.3">
      <c r="A13" s="3" t="s">
        <v>6</v>
      </c>
      <c r="B13" s="4" t="s">
        <v>172</v>
      </c>
      <c r="C13" s="5" t="s">
        <v>173</v>
      </c>
      <c r="D13" s="24" t="s">
        <v>174</v>
      </c>
      <c r="E13" s="7"/>
    </row>
    <row r="14" spans="1:5" ht="21.75" customHeight="1" x14ac:dyDescent="0.3">
      <c r="A14" s="3" t="s">
        <v>6</v>
      </c>
      <c r="B14" s="8" t="s">
        <v>175</v>
      </c>
      <c r="C14" s="9" t="s">
        <v>176</v>
      </c>
      <c r="D14" s="23" t="s">
        <v>158</v>
      </c>
      <c r="E14" s="7" t="s">
        <v>159</v>
      </c>
    </row>
    <row r="15" spans="1:5" ht="30" customHeight="1" x14ac:dyDescent="0.3">
      <c r="A15" s="3" t="s">
        <v>6</v>
      </c>
      <c r="B15" s="4" t="s">
        <v>177</v>
      </c>
      <c r="C15" s="5" t="s">
        <v>178</v>
      </c>
      <c r="D15" s="24" t="s">
        <v>158</v>
      </c>
      <c r="E15" s="7" t="s">
        <v>159</v>
      </c>
    </row>
    <row r="16" spans="1:5" ht="21.75" customHeight="1" x14ac:dyDescent="0.3">
      <c r="A16" s="3" t="s">
        <v>6</v>
      </c>
      <c r="B16" s="8" t="s">
        <v>179</v>
      </c>
      <c r="C16" s="9" t="s">
        <v>180</v>
      </c>
      <c r="D16" s="23" t="s">
        <v>158</v>
      </c>
      <c r="E16" s="7" t="s">
        <v>159</v>
      </c>
    </row>
    <row r="18" spans="1:5" ht="19.5" customHeight="1" x14ac:dyDescent="0.3">
      <c r="A18" s="54" t="s">
        <v>181</v>
      </c>
      <c r="B18" s="51"/>
      <c r="C18" s="51"/>
      <c r="D18" s="51"/>
      <c r="E18" s="51"/>
    </row>
    <row r="19" spans="1:5" ht="30" customHeight="1" x14ac:dyDescent="0.3">
      <c r="A19" s="3" t="s">
        <v>6</v>
      </c>
      <c r="B19" s="4" t="s">
        <v>182</v>
      </c>
      <c r="C19" s="5" t="s">
        <v>183</v>
      </c>
      <c r="D19" s="24" t="s">
        <v>158</v>
      </c>
      <c r="E19" s="25" t="s">
        <v>159</v>
      </c>
    </row>
    <row r="20" spans="1:5" ht="21.75" customHeight="1" x14ac:dyDescent="0.3">
      <c r="A20" s="3" t="s">
        <v>6</v>
      </c>
      <c r="B20" s="8" t="s">
        <v>184</v>
      </c>
      <c r="C20" s="9" t="s">
        <v>185</v>
      </c>
      <c r="D20" s="24" t="s">
        <v>158</v>
      </c>
      <c r="E20" s="7" t="s">
        <v>159</v>
      </c>
    </row>
    <row r="21" spans="1:5" ht="21.75" customHeight="1" x14ac:dyDescent="0.3">
      <c r="A21" s="3" t="s">
        <v>6</v>
      </c>
      <c r="B21" s="4" t="s">
        <v>186</v>
      </c>
      <c r="C21" s="5" t="s">
        <v>187</v>
      </c>
      <c r="D21" s="24" t="s">
        <v>158</v>
      </c>
      <c r="E21" s="7" t="s">
        <v>159</v>
      </c>
    </row>
    <row r="22" spans="1:5" ht="30" customHeight="1" x14ac:dyDescent="0.3">
      <c r="A22" s="3" t="s">
        <v>6</v>
      </c>
      <c r="B22" s="8" t="s">
        <v>188</v>
      </c>
      <c r="C22" s="9" t="s">
        <v>189</v>
      </c>
      <c r="D22" s="24" t="s">
        <v>158</v>
      </c>
      <c r="E22" s="7" t="s">
        <v>159</v>
      </c>
    </row>
    <row r="23" spans="1:5" s="22" customFormat="1" ht="38.549999999999997" customHeight="1" x14ac:dyDescent="0.3">
      <c r="A23" s="26" t="s">
        <v>6</v>
      </c>
      <c r="B23" s="27" t="s">
        <v>190</v>
      </c>
      <c r="C23" s="28" t="s">
        <v>191</v>
      </c>
      <c r="D23" s="29" t="s">
        <v>192</v>
      </c>
      <c r="E23" s="30" t="s">
        <v>159</v>
      </c>
    </row>
    <row r="24" spans="1:5" ht="21.75" customHeight="1" x14ac:dyDescent="0.3">
      <c r="A24" s="3" t="s">
        <v>6</v>
      </c>
      <c r="B24" s="8" t="s">
        <v>193</v>
      </c>
      <c r="C24" s="9" t="s">
        <v>194</v>
      </c>
      <c r="D24" s="23" t="s">
        <v>158</v>
      </c>
      <c r="E24" s="7" t="s">
        <v>159</v>
      </c>
    </row>
    <row r="26" spans="1:5" ht="19.5" customHeight="1" x14ac:dyDescent="0.3">
      <c r="A26" s="54" t="s">
        <v>195</v>
      </c>
      <c r="B26" s="51"/>
      <c r="C26" s="51"/>
      <c r="D26" s="51"/>
      <c r="E26" s="51"/>
    </row>
    <row r="27" spans="1:5" ht="21.75" customHeight="1" x14ac:dyDescent="0.3">
      <c r="A27" s="3" t="s">
        <v>6</v>
      </c>
      <c r="B27" s="4" t="s">
        <v>196</v>
      </c>
      <c r="C27" s="5" t="s">
        <v>197</v>
      </c>
      <c r="D27" s="24" t="s">
        <v>158</v>
      </c>
      <c r="E27" s="7" t="s">
        <v>159</v>
      </c>
    </row>
    <row r="28" spans="1:5" ht="30" customHeight="1" x14ac:dyDescent="0.3">
      <c r="A28" s="3" t="s">
        <v>6</v>
      </c>
      <c r="B28" s="8" t="s">
        <v>198</v>
      </c>
      <c r="C28" s="9" t="s">
        <v>199</v>
      </c>
      <c r="D28" s="23" t="s">
        <v>158</v>
      </c>
      <c r="E28" s="7" t="s">
        <v>159</v>
      </c>
    </row>
    <row r="29" spans="1:5" ht="30" customHeight="1" x14ac:dyDescent="0.3">
      <c r="A29" s="3" t="s">
        <v>6</v>
      </c>
      <c r="B29" s="4" t="s">
        <v>200</v>
      </c>
      <c r="C29" s="5" t="s">
        <v>201</v>
      </c>
      <c r="D29" s="24" t="s">
        <v>202</v>
      </c>
      <c r="E29" s="7"/>
    </row>
    <row r="30" spans="1:5" ht="30" customHeight="1" x14ac:dyDescent="0.3">
      <c r="A30" s="3" t="s">
        <v>6</v>
      </c>
      <c r="B30" s="8" t="s">
        <v>203</v>
      </c>
      <c r="C30" s="9" t="s">
        <v>204</v>
      </c>
      <c r="D30" s="23" t="s">
        <v>205</v>
      </c>
      <c r="E30" s="7"/>
    </row>
    <row r="31" spans="1:5" ht="30" customHeight="1" x14ac:dyDescent="0.3">
      <c r="A31" s="3" t="s">
        <v>6</v>
      </c>
      <c r="B31" s="4" t="s">
        <v>206</v>
      </c>
      <c r="C31" s="5" t="s">
        <v>207</v>
      </c>
      <c r="D31" s="24" t="s">
        <v>158</v>
      </c>
      <c r="E31" s="7" t="s">
        <v>159</v>
      </c>
    </row>
    <row r="32" spans="1:5" ht="30" customHeight="1" x14ac:dyDescent="0.3">
      <c r="A32" s="3" t="s">
        <v>6</v>
      </c>
      <c r="B32" s="8" t="s">
        <v>208</v>
      </c>
      <c r="C32" s="9" t="s">
        <v>209</v>
      </c>
      <c r="D32" s="23" t="s">
        <v>158</v>
      </c>
      <c r="E32" s="7" t="s">
        <v>159</v>
      </c>
    </row>
    <row r="34" spans="1:5" ht="19.5" customHeight="1" x14ac:dyDescent="0.3">
      <c r="A34" s="54" t="s">
        <v>210</v>
      </c>
      <c r="B34" s="51"/>
      <c r="C34" s="51"/>
      <c r="D34" s="51"/>
      <c r="E34" s="51"/>
    </row>
    <row r="35" spans="1:5" ht="30" customHeight="1" x14ac:dyDescent="0.3">
      <c r="A35" s="3" t="s">
        <v>6</v>
      </c>
      <c r="B35" s="4" t="s">
        <v>211</v>
      </c>
      <c r="C35" s="5" t="s">
        <v>212</v>
      </c>
      <c r="D35" s="24" t="s">
        <v>158</v>
      </c>
      <c r="E35" s="7" t="s">
        <v>159</v>
      </c>
    </row>
    <row r="36" spans="1:5" ht="21.75" customHeight="1" x14ac:dyDescent="0.3">
      <c r="A36" s="3" t="s">
        <v>6</v>
      </c>
      <c r="B36" s="8" t="s">
        <v>213</v>
      </c>
      <c r="C36" s="9" t="s">
        <v>214</v>
      </c>
      <c r="D36" s="35" t="s">
        <v>158</v>
      </c>
      <c r="E36" s="7" t="s">
        <v>159</v>
      </c>
    </row>
    <row r="37" spans="1:5" s="22" customFormat="1" ht="30" customHeight="1" x14ac:dyDescent="0.3">
      <c r="A37" s="45" t="s">
        <v>6</v>
      </c>
      <c r="B37" s="46" t="s">
        <v>215</v>
      </c>
      <c r="C37" s="47" t="s">
        <v>216</v>
      </c>
      <c r="D37" s="48" t="s">
        <v>158</v>
      </c>
      <c r="E37" s="49" t="s">
        <v>159</v>
      </c>
    </row>
    <row r="39" spans="1:5" ht="19.5" customHeight="1" x14ac:dyDescent="0.3">
      <c r="A39" s="54" t="s">
        <v>217</v>
      </c>
      <c r="B39" s="51"/>
      <c r="C39" s="51"/>
      <c r="D39" s="51"/>
      <c r="E39" s="51"/>
    </row>
    <row r="40" spans="1:5" ht="30" customHeight="1" x14ac:dyDescent="0.3">
      <c r="A40" s="3" t="s">
        <v>6</v>
      </c>
      <c r="B40" s="8" t="s">
        <v>218</v>
      </c>
      <c r="C40" s="9" t="s">
        <v>219</v>
      </c>
      <c r="D40" s="23" t="s">
        <v>158</v>
      </c>
      <c r="E40" s="7" t="s">
        <v>159</v>
      </c>
    </row>
    <row r="41" spans="1:5" ht="30" customHeight="1" x14ac:dyDescent="0.3">
      <c r="A41" s="3" t="s">
        <v>6</v>
      </c>
      <c r="B41" s="4" t="s">
        <v>220</v>
      </c>
      <c r="C41" s="5" t="s">
        <v>221</v>
      </c>
      <c r="D41" s="24" t="s">
        <v>158</v>
      </c>
      <c r="E41" s="7" t="s">
        <v>159</v>
      </c>
    </row>
    <row r="42" spans="1:5" ht="30" customHeight="1" x14ac:dyDescent="0.3">
      <c r="A42" s="3" t="s">
        <v>6</v>
      </c>
      <c r="B42" s="8" t="s">
        <v>222</v>
      </c>
      <c r="C42" s="9" t="s">
        <v>223</v>
      </c>
      <c r="D42" s="10"/>
      <c r="E42" s="7" t="s">
        <v>224</v>
      </c>
    </row>
    <row r="44" spans="1:5" ht="19.5" customHeight="1" x14ac:dyDescent="0.3">
      <c r="A44" s="54" t="s">
        <v>225</v>
      </c>
      <c r="B44" s="51"/>
      <c r="C44" s="51"/>
      <c r="D44" s="51"/>
      <c r="E44" s="51"/>
    </row>
    <row r="45" spans="1:5" ht="21.75" customHeight="1" x14ac:dyDescent="0.3">
      <c r="A45" s="3" t="s">
        <v>6</v>
      </c>
      <c r="B45" s="4" t="s">
        <v>226</v>
      </c>
      <c r="C45" s="5" t="s">
        <v>227</v>
      </c>
      <c r="D45" s="24" t="s">
        <v>158</v>
      </c>
      <c r="E45" s="7" t="s">
        <v>159</v>
      </c>
    </row>
    <row r="46" spans="1:5" ht="30" customHeight="1" x14ac:dyDescent="0.3">
      <c r="A46" s="3" t="s">
        <v>6</v>
      </c>
      <c r="B46" s="8" t="s">
        <v>228</v>
      </c>
      <c r="C46" s="9" t="s">
        <v>229</v>
      </c>
      <c r="D46" s="23" t="s">
        <v>158</v>
      </c>
      <c r="E46" s="7" t="s">
        <v>159</v>
      </c>
    </row>
    <row r="47" spans="1:5" ht="30" customHeight="1" x14ac:dyDescent="0.3">
      <c r="A47" s="3" t="s">
        <v>6</v>
      </c>
      <c r="B47" s="4" t="s">
        <v>230</v>
      </c>
      <c r="C47" s="5" t="s">
        <v>231</v>
      </c>
      <c r="D47" s="24" t="s">
        <v>158</v>
      </c>
      <c r="E47" s="7" t="s">
        <v>159</v>
      </c>
    </row>
    <row r="48" spans="1:5" ht="21.75" customHeight="1" x14ac:dyDescent="0.3">
      <c r="A48" s="3" t="s">
        <v>6</v>
      </c>
      <c r="B48" s="8" t="s">
        <v>232</v>
      </c>
      <c r="C48" s="9" t="s">
        <v>233</v>
      </c>
      <c r="D48" s="23" t="s">
        <v>158</v>
      </c>
      <c r="E48" s="7" t="s">
        <v>159</v>
      </c>
    </row>
    <row r="49" spans="1:5" ht="30" customHeight="1" x14ac:dyDescent="0.3">
      <c r="A49" s="3" t="s">
        <v>6</v>
      </c>
      <c r="B49" s="4" t="s">
        <v>234</v>
      </c>
      <c r="C49" s="5" t="s">
        <v>235</v>
      </c>
      <c r="D49" s="34" t="s">
        <v>158</v>
      </c>
      <c r="E49" s="25" t="s">
        <v>159</v>
      </c>
    </row>
    <row r="50" spans="1:5" ht="21.75" customHeight="1" x14ac:dyDescent="0.3">
      <c r="A50" s="38" t="s">
        <v>6</v>
      </c>
      <c r="B50" s="39" t="s">
        <v>236</v>
      </c>
      <c r="C50" s="40" t="s">
        <v>237</v>
      </c>
      <c r="D50" s="41"/>
      <c r="E50" s="42" t="s">
        <v>238</v>
      </c>
    </row>
    <row r="51" spans="1:5" ht="21.75" customHeight="1" x14ac:dyDescent="0.3">
      <c r="A51" s="3" t="s">
        <v>6</v>
      </c>
      <c r="B51" s="4" t="s">
        <v>239</v>
      </c>
      <c r="C51" s="5" t="s">
        <v>240</v>
      </c>
      <c r="D51" s="24" t="s">
        <v>158</v>
      </c>
      <c r="E51" s="43" t="s">
        <v>159</v>
      </c>
    </row>
    <row r="52" spans="1:5" ht="21.75" customHeight="1" x14ac:dyDescent="0.3">
      <c r="A52" s="44" t="s">
        <v>6</v>
      </c>
      <c r="B52" s="8" t="s">
        <v>241</v>
      </c>
      <c r="C52" s="9" t="s">
        <v>242</v>
      </c>
      <c r="D52" s="23" t="s">
        <v>158</v>
      </c>
      <c r="E52" s="43" t="s">
        <v>159</v>
      </c>
    </row>
    <row r="53" spans="1:5" ht="21.75" customHeight="1" x14ac:dyDescent="0.3">
      <c r="A53" s="3" t="s">
        <v>6</v>
      </c>
      <c r="B53" s="4" t="s">
        <v>243</v>
      </c>
      <c r="C53" s="5" t="s">
        <v>244</v>
      </c>
      <c r="D53" s="24" t="s">
        <v>158</v>
      </c>
      <c r="E53" s="25" t="s">
        <v>159</v>
      </c>
    </row>
    <row r="55" spans="1:5" ht="19.5" customHeight="1" x14ac:dyDescent="0.3">
      <c r="A55" s="54" t="s">
        <v>245</v>
      </c>
      <c r="B55" s="51"/>
      <c r="C55" s="51"/>
      <c r="D55" s="51"/>
      <c r="E55" s="51"/>
    </row>
    <row r="56" spans="1:5" s="22" customFormat="1" ht="21.75" customHeight="1" x14ac:dyDescent="0.3">
      <c r="A56" s="26" t="s">
        <v>6</v>
      </c>
      <c r="B56" s="31" t="s">
        <v>246</v>
      </c>
      <c r="C56" s="32" t="s">
        <v>247</v>
      </c>
      <c r="D56" s="33" t="s">
        <v>248</v>
      </c>
      <c r="E56" s="30" t="s">
        <v>159</v>
      </c>
    </row>
    <row r="57" spans="1:5" s="22" customFormat="1" ht="30" customHeight="1" x14ac:dyDescent="0.3">
      <c r="A57" s="26" t="s">
        <v>6</v>
      </c>
      <c r="B57" s="27" t="s">
        <v>249</v>
      </c>
      <c r="C57" s="28" t="s">
        <v>250</v>
      </c>
      <c r="D57" s="29" t="s">
        <v>251</v>
      </c>
      <c r="E57" s="30" t="s">
        <v>159</v>
      </c>
    </row>
    <row r="58" spans="1:5" s="22" customFormat="1" ht="30" customHeight="1" x14ac:dyDescent="0.3">
      <c r="A58" s="26" t="s">
        <v>6</v>
      </c>
      <c r="B58" s="31" t="s">
        <v>252</v>
      </c>
      <c r="C58" s="32" t="s">
        <v>253</v>
      </c>
      <c r="D58" s="33" t="s">
        <v>254</v>
      </c>
      <c r="E58" s="30" t="s">
        <v>159</v>
      </c>
    </row>
    <row r="59" spans="1:5" ht="21.75" customHeight="1" x14ac:dyDescent="0.3">
      <c r="A59" s="3" t="s">
        <v>6</v>
      </c>
      <c r="B59" s="4" t="s">
        <v>255</v>
      </c>
      <c r="C59" s="5" t="s">
        <v>256</v>
      </c>
      <c r="D59" s="24" t="s">
        <v>158</v>
      </c>
      <c r="E59" s="7" t="s">
        <v>159</v>
      </c>
    </row>
    <row r="61" spans="1:5" x14ac:dyDescent="0.3">
      <c r="A61" s="36"/>
      <c r="C61" t="s">
        <v>257</v>
      </c>
    </row>
    <row r="62" spans="1:5" ht="22.8" x14ac:dyDescent="0.3">
      <c r="A62" s="3"/>
      <c r="B62" s="8" t="s">
        <v>258</v>
      </c>
      <c r="C62" s="9" t="s">
        <v>259</v>
      </c>
      <c r="D62" s="23" t="s">
        <v>260</v>
      </c>
      <c r="E62" s="7" t="s">
        <v>159</v>
      </c>
    </row>
    <row r="63" spans="1:5" ht="22.8" x14ac:dyDescent="0.3">
      <c r="A63" s="3"/>
      <c r="B63" s="8" t="s">
        <v>261</v>
      </c>
      <c r="C63" s="9" t="s">
        <v>262</v>
      </c>
      <c r="D63" s="23" t="s">
        <v>260</v>
      </c>
      <c r="E63" s="7" t="s">
        <v>159</v>
      </c>
    </row>
    <row r="64" spans="1:5" ht="22.8" x14ac:dyDescent="0.3">
      <c r="A64" s="3"/>
      <c r="B64" s="8" t="s">
        <v>263</v>
      </c>
      <c r="C64" s="9" t="s">
        <v>264</v>
      </c>
      <c r="D64" s="23" t="s">
        <v>260</v>
      </c>
      <c r="E64" s="7" t="s">
        <v>159</v>
      </c>
    </row>
    <row r="65" spans="1:5" ht="22.8" x14ac:dyDescent="0.3">
      <c r="A65" s="3"/>
      <c r="B65" s="8" t="s">
        <v>265</v>
      </c>
      <c r="C65" s="9" t="s">
        <v>266</v>
      </c>
      <c r="D65" s="23" t="s">
        <v>260</v>
      </c>
      <c r="E65" s="7" t="s">
        <v>159</v>
      </c>
    </row>
    <row r="66" spans="1:5" ht="15" x14ac:dyDescent="0.3">
      <c r="A66" s="3"/>
      <c r="B66" s="8" t="s">
        <v>267</v>
      </c>
      <c r="C66" s="9" t="s">
        <v>268</v>
      </c>
      <c r="D66" s="23" t="s">
        <v>260</v>
      </c>
      <c r="E66" s="7" t="s">
        <v>159</v>
      </c>
    </row>
    <row r="67" spans="1:5" ht="22.8" x14ac:dyDescent="0.3">
      <c r="A67" s="3"/>
      <c r="B67" s="8" t="s">
        <v>269</v>
      </c>
      <c r="C67" s="9" t="s">
        <v>270</v>
      </c>
      <c r="D67" s="23" t="s">
        <v>260</v>
      </c>
      <c r="E67" s="7" t="s">
        <v>159</v>
      </c>
    </row>
    <row r="68" spans="1:5" ht="15" x14ac:dyDescent="0.3">
      <c r="A68" s="3"/>
      <c r="B68" s="8" t="s">
        <v>271</v>
      </c>
      <c r="C68" s="9" t="s">
        <v>272</v>
      </c>
      <c r="D68" s="23" t="s">
        <v>260</v>
      </c>
      <c r="E68" s="7" t="s">
        <v>159</v>
      </c>
    </row>
    <row r="69" spans="1:5" ht="22.8" x14ac:dyDescent="0.3">
      <c r="A69" s="3"/>
      <c r="B69" s="8" t="s">
        <v>273</v>
      </c>
      <c r="C69" s="9" t="s">
        <v>274</v>
      </c>
      <c r="D69" s="23" t="s">
        <v>260</v>
      </c>
      <c r="E69" s="7" t="s">
        <v>159</v>
      </c>
    </row>
    <row r="70" spans="1:5" ht="22.8" x14ac:dyDescent="0.3">
      <c r="A70" s="3"/>
      <c r="B70" s="8" t="s">
        <v>275</v>
      </c>
      <c r="C70" s="9" t="s">
        <v>276</v>
      </c>
      <c r="D70" s="23" t="s">
        <v>260</v>
      </c>
      <c r="E70" s="7" t="s">
        <v>159</v>
      </c>
    </row>
    <row r="71" spans="1:5" ht="22.8" x14ac:dyDescent="0.3">
      <c r="A71" s="3"/>
      <c r="B71" s="8" t="s">
        <v>277</v>
      </c>
      <c r="C71" s="9" t="s">
        <v>278</v>
      </c>
      <c r="D71" s="23" t="s">
        <v>260</v>
      </c>
      <c r="E71" s="7" t="s">
        <v>159</v>
      </c>
    </row>
    <row r="72" spans="1:5" ht="22.8" x14ac:dyDescent="0.3">
      <c r="A72" s="3"/>
      <c r="B72" s="8" t="s">
        <v>279</v>
      </c>
      <c r="C72" s="9" t="s">
        <v>280</v>
      </c>
      <c r="D72" s="23" t="s">
        <v>260</v>
      </c>
      <c r="E72" s="7" t="s">
        <v>159</v>
      </c>
    </row>
    <row r="73" spans="1:5" ht="22.8" x14ac:dyDescent="0.3">
      <c r="A73" s="3"/>
      <c r="B73" s="8" t="s">
        <v>281</v>
      </c>
      <c r="C73" s="9" t="s">
        <v>282</v>
      </c>
      <c r="D73" s="23" t="s">
        <v>260</v>
      </c>
      <c r="E73" s="7" t="s">
        <v>159</v>
      </c>
    </row>
    <row r="74" spans="1:5" ht="15" x14ac:dyDescent="0.3">
      <c r="A74" s="3"/>
      <c r="B74" s="8" t="s">
        <v>283</v>
      </c>
      <c r="C74" s="9" t="s">
        <v>284</v>
      </c>
      <c r="D74" s="23" t="s">
        <v>260</v>
      </c>
      <c r="E74" s="7"/>
    </row>
    <row r="75" spans="1:5" ht="22.8" x14ac:dyDescent="0.3">
      <c r="A75" s="3"/>
      <c r="B75" s="8" t="s">
        <v>285</v>
      </c>
      <c r="C75" s="9" t="s">
        <v>286</v>
      </c>
      <c r="D75" s="23" t="s">
        <v>260</v>
      </c>
      <c r="E75" s="7" t="s">
        <v>159</v>
      </c>
    </row>
    <row r="76" spans="1:5" ht="22.8" x14ac:dyDescent="0.3">
      <c r="A76" s="3"/>
      <c r="B76" s="8" t="s">
        <v>287</v>
      </c>
      <c r="C76" s="9" t="s">
        <v>288</v>
      </c>
      <c r="D76" s="23" t="s">
        <v>260</v>
      </c>
      <c r="E76" s="7"/>
    </row>
    <row r="78" spans="1:5" x14ac:dyDescent="0.3">
      <c r="A78" s="36"/>
      <c r="C78" t="s">
        <v>289</v>
      </c>
    </row>
    <row r="79" spans="1:5" ht="34.200000000000003" x14ac:dyDescent="0.3">
      <c r="A79" s="3"/>
      <c r="B79" s="8" t="s">
        <v>290</v>
      </c>
      <c r="C79" s="9" t="s">
        <v>291</v>
      </c>
      <c r="D79" s="23" t="s">
        <v>292</v>
      </c>
      <c r="E79" s="7" t="s">
        <v>159</v>
      </c>
    </row>
    <row r="80" spans="1:5" ht="22.8" x14ac:dyDescent="0.3">
      <c r="A80" s="3"/>
      <c r="B80" s="8" t="s">
        <v>293</v>
      </c>
      <c r="C80" s="9" t="s">
        <v>294</v>
      </c>
      <c r="D80" s="23" t="s">
        <v>292</v>
      </c>
      <c r="E80" s="7" t="s">
        <v>159</v>
      </c>
    </row>
    <row r="81" spans="1:5" ht="15" x14ac:dyDescent="0.3">
      <c r="A81" s="3"/>
      <c r="B81" s="8" t="s">
        <v>295</v>
      </c>
      <c r="C81" s="9" t="s">
        <v>296</v>
      </c>
      <c r="D81" s="23" t="s">
        <v>292</v>
      </c>
      <c r="E81" s="7" t="s">
        <v>159</v>
      </c>
    </row>
    <row r="82" spans="1:5" ht="22.8" x14ac:dyDescent="0.3">
      <c r="A82" s="3"/>
      <c r="B82" s="8" t="s">
        <v>297</v>
      </c>
      <c r="C82" s="9" t="s">
        <v>298</v>
      </c>
      <c r="D82" s="23" t="s">
        <v>292</v>
      </c>
      <c r="E82" s="7" t="s">
        <v>159</v>
      </c>
    </row>
    <row r="83" spans="1:5" ht="22.8" x14ac:dyDescent="0.3">
      <c r="A83" s="3"/>
      <c r="B83" s="8" t="s">
        <v>299</v>
      </c>
      <c r="C83" s="9" t="s">
        <v>300</v>
      </c>
      <c r="D83" s="23" t="s">
        <v>292</v>
      </c>
      <c r="E83" s="7" t="s">
        <v>159</v>
      </c>
    </row>
    <row r="84" spans="1:5" ht="22.8" x14ac:dyDescent="0.3">
      <c r="A84" s="3"/>
      <c r="B84" s="8" t="s">
        <v>301</v>
      </c>
      <c r="C84" s="9" t="s">
        <v>302</v>
      </c>
      <c r="D84" s="23" t="s">
        <v>292</v>
      </c>
      <c r="E84" s="7" t="s">
        <v>159</v>
      </c>
    </row>
    <row r="85" spans="1:5" ht="34.200000000000003" x14ac:dyDescent="0.3">
      <c r="A85" s="3"/>
      <c r="B85" s="8" t="s">
        <v>303</v>
      </c>
      <c r="C85" s="9" t="s">
        <v>304</v>
      </c>
      <c r="D85" s="23" t="s">
        <v>292</v>
      </c>
      <c r="E85" s="7" t="s">
        <v>159</v>
      </c>
    </row>
    <row r="86" spans="1:5" ht="22.8" x14ac:dyDescent="0.3">
      <c r="A86" s="3"/>
      <c r="B86" s="8" t="s">
        <v>305</v>
      </c>
      <c r="C86" s="9" t="s">
        <v>306</v>
      </c>
      <c r="D86" s="23" t="s">
        <v>292</v>
      </c>
      <c r="E86" s="7" t="s">
        <v>159</v>
      </c>
    </row>
    <row r="87" spans="1:5" ht="15" x14ac:dyDescent="0.3">
      <c r="A87" s="3"/>
      <c r="B87" s="8" t="s">
        <v>307</v>
      </c>
      <c r="C87" s="9" t="s">
        <v>308</v>
      </c>
      <c r="D87" s="23" t="s">
        <v>292</v>
      </c>
      <c r="E87" s="7" t="s">
        <v>159</v>
      </c>
    </row>
    <row r="88" spans="1:5" ht="22.8" x14ac:dyDescent="0.3">
      <c r="A88" s="3"/>
      <c r="B88" s="8" t="s">
        <v>309</v>
      </c>
      <c r="C88" s="9" t="s">
        <v>310</v>
      </c>
      <c r="D88" s="23" t="s">
        <v>292</v>
      </c>
      <c r="E88" s="7" t="s">
        <v>159</v>
      </c>
    </row>
    <row r="89" spans="1:5" ht="22.8" x14ac:dyDescent="0.3">
      <c r="A89" s="3"/>
      <c r="B89" s="8" t="s">
        <v>311</v>
      </c>
      <c r="C89" s="9" t="s">
        <v>312</v>
      </c>
      <c r="D89" s="23" t="s">
        <v>292</v>
      </c>
      <c r="E89" s="7" t="s">
        <v>159</v>
      </c>
    </row>
    <row r="90" spans="1:5" ht="22.8" x14ac:dyDescent="0.3">
      <c r="A90" s="3"/>
      <c r="B90" s="8" t="s">
        <v>313</v>
      </c>
      <c r="C90" s="9" t="s">
        <v>314</v>
      </c>
      <c r="D90" s="23" t="s">
        <v>292</v>
      </c>
      <c r="E90" s="7" t="s">
        <v>159</v>
      </c>
    </row>
    <row r="91" spans="1:5" ht="22.8" x14ac:dyDescent="0.3">
      <c r="A91" s="3"/>
      <c r="B91" s="8" t="s">
        <v>315</v>
      </c>
      <c r="C91" s="9" t="s">
        <v>316</v>
      </c>
      <c r="D91" s="23" t="s">
        <v>292</v>
      </c>
      <c r="E91" s="7" t="s">
        <v>159</v>
      </c>
    </row>
    <row r="92" spans="1:5" ht="22.8" x14ac:dyDescent="0.3">
      <c r="A92" s="3"/>
      <c r="B92" s="8" t="s">
        <v>317</v>
      </c>
      <c r="C92" s="9" t="s">
        <v>318</v>
      </c>
      <c r="D92" s="23" t="s">
        <v>292</v>
      </c>
      <c r="E92" s="7" t="s">
        <v>159</v>
      </c>
    </row>
    <row r="93" spans="1:5" ht="22.8" x14ac:dyDescent="0.3">
      <c r="A93" s="3"/>
      <c r="B93" s="8" t="s">
        <v>319</v>
      </c>
      <c r="C93" s="9" t="s">
        <v>320</v>
      </c>
      <c r="D93" s="23" t="s">
        <v>292</v>
      </c>
      <c r="E93" s="7" t="s">
        <v>159</v>
      </c>
    </row>
    <row r="95" spans="1:5" x14ac:dyDescent="0.3">
      <c r="A95" s="36"/>
      <c r="C95" t="s">
        <v>321</v>
      </c>
    </row>
    <row r="96" spans="1:5" ht="34.200000000000003" x14ac:dyDescent="0.3">
      <c r="A96" s="3"/>
      <c r="B96" s="8" t="s">
        <v>322</v>
      </c>
      <c r="C96" s="9" t="s">
        <v>323</v>
      </c>
      <c r="D96" s="23" t="s">
        <v>324</v>
      </c>
      <c r="E96" s="7" t="s">
        <v>159</v>
      </c>
    </row>
    <row r="97" spans="1:5" ht="22.8" x14ac:dyDescent="0.3">
      <c r="A97" s="3"/>
      <c r="B97" s="8" t="s">
        <v>325</v>
      </c>
      <c r="C97" s="9" t="s">
        <v>326</v>
      </c>
      <c r="D97" s="23" t="s">
        <v>324</v>
      </c>
      <c r="E97" s="7" t="s">
        <v>159</v>
      </c>
    </row>
    <row r="98" spans="1:5" ht="22.8" x14ac:dyDescent="0.3">
      <c r="A98" s="3"/>
      <c r="B98" s="8" t="s">
        <v>327</v>
      </c>
      <c r="C98" s="9" t="s">
        <v>328</v>
      </c>
      <c r="D98" s="23" t="s">
        <v>324</v>
      </c>
      <c r="E98" s="7" t="s">
        <v>159</v>
      </c>
    </row>
    <row r="99" spans="1:5" ht="34.200000000000003" x14ac:dyDescent="0.3">
      <c r="A99" s="3"/>
      <c r="B99" s="8" t="s">
        <v>329</v>
      </c>
      <c r="C99" s="9" t="s">
        <v>330</v>
      </c>
      <c r="D99" s="23" t="s">
        <v>324</v>
      </c>
      <c r="E99" s="7" t="s">
        <v>159</v>
      </c>
    </row>
    <row r="100" spans="1:5" ht="34.200000000000003" x14ac:dyDescent="0.3">
      <c r="A100" s="3"/>
      <c r="B100" s="8" t="s">
        <v>331</v>
      </c>
      <c r="C100" s="9" t="s">
        <v>332</v>
      </c>
      <c r="D100" s="23" t="s">
        <v>324</v>
      </c>
      <c r="E100" s="7" t="s">
        <v>159</v>
      </c>
    </row>
    <row r="101" spans="1:5" ht="22.8" x14ac:dyDescent="0.3">
      <c r="A101" s="3"/>
      <c r="B101" s="8" t="s">
        <v>333</v>
      </c>
      <c r="C101" s="9" t="s">
        <v>334</v>
      </c>
      <c r="D101" s="23" t="s">
        <v>324</v>
      </c>
      <c r="E101" s="7" t="s">
        <v>159</v>
      </c>
    </row>
    <row r="102" spans="1:5" ht="22.8" x14ac:dyDescent="0.3">
      <c r="A102" s="3"/>
      <c r="B102" s="8" t="s">
        <v>335</v>
      </c>
      <c r="C102" s="9" t="s">
        <v>336</v>
      </c>
      <c r="D102" s="23" t="s">
        <v>324</v>
      </c>
      <c r="E102" s="7" t="s">
        <v>159</v>
      </c>
    </row>
    <row r="103" spans="1:5" ht="22.8" x14ac:dyDescent="0.3">
      <c r="A103" s="3"/>
      <c r="B103" s="8" t="s">
        <v>337</v>
      </c>
      <c r="C103" s="9" t="s">
        <v>338</v>
      </c>
      <c r="D103" s="23" t="s">
        <v>324</v>
      </c>
      <c r="E103" s="7" t="s">
        <v>159</v>
      </c>
    </row>
    <row r="104" spans="1:5" ht="22.8" x14ac:dyDescent="0.3">
      <c r="A104" s="3"/>
      <c r="B104" s="8" t="s">
        <v>339</v>
      </c>
      <c r="C104" s="9" t="s">
        <v>340</v>
      </c>
      <c r="D104" s="23" t="s">
        <v>324</v>
      </c>
      <c r="E104" s="7" t="s">
        <v>159</v>
      </c>
    </row>
    <row r="105" spans="1:5" ht="34.200000000000003" x14ac:dyDescent="0.3">
      <c r="A105" s="3"/>
      <c r="B105" s="8" t="s">
        <v>341</v>
      </c>
      <c r="C105" s="9" t="s">
        <v>342</v>
      </c>
      <c r="D105" s="23" t="s">
        <v>324</v>
      </c>
      <c r="E105" s="7" t="s">
        <v>159</v>
      </c>
    </row>
    <row r="106" spans="1:5" ht="34.200000000000003" x14ac:dyDescent="0.3">
      <c r="A106" s="3"/>
      <c r="B106" s="8" t="s">
        <v>343</v>
      </c>
      <c r="C106" s="9" t="s">
        <v>344</v>
      </c>
      <c r="D106" s="23" t="s">
        <v>324</v>
      </c>
      <c r="E106" s="7" t="s">
        <v>159</v>
      </c>
    </row>
    <row r="107" spans="1:5" ht="34.200000000000003" x14ac:dyDescent="0.3">
      <c r="A107" s="3"/>
      <c r="B107" s="8" t="s">
        <v>345</v>
      </c>
      <c r="C107" s="9" t="s">
        <v>346</v>
      </c>
      <c r="D107" s="23" t="s">
        <v>324</v>
      </c>
      <c r="E107" s="7" t="s">
        <v>159</v>
      </c>
    </row>
    <row r="108" spans="1:5" ht="22.8" x14ac:dyDescent="0.3">
      <c r="A108" s="3"/>
      <c r="B108" s="8" t="s">
        <v>347</v>
      </c>
      <c r="C108" s="9" t="s">
        <v>348</v>
      </c>
      <c r="D108" s="23" t="s">
        <v>324</v>
      </c>
      <c r="E108" s="7" t="s">
        <v>159</v>
      </c>
    </row>
    <row r="110" spans="1:5" x14ac:dyDescent="0.3">
      <c r="A110" s="36"/>
      <c r="C110" t="s">
        <v>349</v>
      </c>
    </row>
    <row r="111" spans="1:5" ht="34.200000000000003" x14ac:dyDescent="0.3">
      <c r="A111" s="3"/>
      <c r="B111" s="8" t="s">
        <v>350</v>
      </c>
      <c r="C111" s="9" t="s">
        <v>351</v>
      </c>
      <c r="D111" s="23" t="s">
        <v>352</v>
      </c>
      <c r="E111" s="7"/>
    </row>
    <row r="112" spans="1:5" ht="34.200000000000003" x14ac:dyDescent="0.3">
      <c r="A112" s="3"/>
      <c r="B112" s="8" t="s">
        <v>353</v>
      </c>
      <c r="C112" s="9" t="s">
        <v>354</v>
      </c>
      <c r="D112" s="23" t="s">
        <v>352</v>
      </c>
      <c r="E112" s="7"/>
    </row>
    <row r="113" spans="1:5" x14ac:dyDescent="0.3">
      <c r="A113" s="36"/>
      <c r="C113" t="s">
        <v>355</v>
      </c>
    </row>
    <row r="114" spans="1:5" ht="34.200000000000003" x14ac:dyDescent="0.3">
      <c r="A114" s="3"/>
      <c r="B114" s="8" t="s">
        <v>356</v>
      </c>
      <c r="C114" s="9" t="s">
        <v>357</v>
      </c>
      <c r="D114" s="23" t="s">
        <v>358</v>
      </c>
      <c r="E114" s="7" t="s">
        <v>159</v>
      </c>
    </row>
    <row r="115" spans="1:5" ht="34.200000000000003" x14ac:dyDescent="0.3">
      <c r="A115" s="3"/>
      <c r="B115" s="8" t="s">
        <v>359</v>
      </c>
      <c r="C115" s="9" t="s">
        <v>360</v>
      </c>
      <c r="D115" s="23" t="s">
        <v>358</v>
      </c>
      <c r="E115" s="7" t="s">
        <v>159</v>
      </c>
    </row>
    <row r="116" spans="1:5" ht="34.200000000000003" x14ac:dyDescent="0.3">
      <c r="A116" s="3"/>
      <c r="B116" s="8" t="s">
        <v>361</v>
      </c>
      <c r="C116" s="9" t="s">
        <v>362</v>
      </c>
      <c r="D116" s="23" t="s">
        <v>358</v>
      </c>
      <c r="E116" s="7" t="s">
        <v>159</v>
      </c>
    </row>
    <row r="117" spans="1:5" ht="22.8" x14ac:dyDescent="0.3">
      <c r="A117" s="3"/>
      <c r="B117" s="8" t="s">
        <v>363</v>
      </c>
      <c r="C117" s="9" t="s">
        <v>364</v>
      </c>
      <c r="D117" s="23" t="s">
        <v>358</v>
      </c>
      <c r="E117" s="7"/>
    </row>
    <row r="118" spans="1:5" ht="34.200000000000003" x14ac:dyDescent="0.3">
      <c r="A118" s="3"/>
      <c r="B118" s="8" t="s">
        <v>365</v>
      </c>
      <c r="C118" s="9" t="s">
        <v>366</v>
      </c>
      <c r="D118" s="23" t="s">
        <v>358</v>
      </c>
      <c r="E118" s="7" t="s">
        <v>159</v>
      </c>
    </row>
    <row r="119" spans="1:5" ht="15" x14ac:dyDescent="0.3">
      <c r="A119" s="3"/>
      <c r="B119" s="8" t="s">
        <v>367</v>
      </c>
      <c r="C119" s="9" t="s">
        <v>368</v>
      </c>
      <c r="D119" s="23" t="s">
        <v>358</v>
      </c>
      <c r="E119" s="7" t="s">
        <v>159</v>
      </c>
    </row>
    <row r="120" spans="1:5" ht="22.8" x14ac:dyDescent="0.3">
      <c r="A120" s="3"/>
      <c r="B120" s="8" t="s">
        <v>369</v>
      </c>
      <c r="C120" s="9" t="s">
        <v>370</v>
      </c>
      <c r="D120" s="23" t="s">
        <v>358</v>
      </c>
      <c r="E120" s="7" t="s">
        <v>159</v>
      </c>
    </row>
    <row r="121" spans="1:5" ht="22.8" x14ac:dyDescent="0.3">
      <c r="A121" s="3"/>
      <c r="B121" s="8" t="s">
        <v>371</v>
      </c>
      <c r="C121" s="9" t="s">
        <v>372</v>
      </c>
      <c r="D121" s="23" t="s">
        <v>358</v>
      </c>
      <c r="E121" s="7" t="s">
        <v>159</v>
      </c>
    </row>
    <row r="122" spans="1:5" ht="15" x14ac:dyDescent="0.3">
      <c r="A122" s="3"/>
      <c r="B122" s="8" t="s">
        <v>373</v>
      </c>
      <c r="C122" s="9" t="s">
        <v>374</v>
      </c>
      <c r="D122" s="23" t="s">
        <v>358</v>
      </c>
      <c r="E122" s="7"/>
    </row>
    <row r="123" spans="1:5" x14ac:dyDescent="0.3">
      <c r="A123" s="36"/>
      <c r="C123" t="s">
        <v>375</v>
      </c>
    </row>
    <row r="124" spans="1:5" ht="34.200000000000003" x14ac:dyDescent="0.3">
      <c r="A124" s="3"/>
      <c r="B124" s="8" t="s">
        <v>376</v>
      </c>
      <c r="C124" s="9" t="s">
        <v>377</v>
      </c>
      <c r="D124" s="23" t="s">
        <v>378</v>
      </c>
      <c r="E124" s="7" t="s">
        <v>159</v>
      </c>
    </row>
    <row r="125" spans="1:5" ht="15" x14ac:dyDescent="0.3">
      <c r="A125" s="3"/>
      <c r="B125" s="8" t="s">
        <v>379</v>
      </c>
      <c r="C125" s="9" t="s">
        <v>380</v>
      </c>
      <c r="D125" s="23" t="s">
        <v>378</v>
      </c>
      <c r="E125" s="7" t="s">
        <v>159</v>
      </c>
    </row>
    <row r="126" spans="1:5" x14ac:dyDescent="0.3">
      <c r="A126" s="36"/>
      <c r="C126" t="s">
        <v>381</v>
      </c>
    </row>
    <row r="127" spans="1:5" ht="34.200000000000003" x14ac:dyDescent="0.3">
      <c r="A127" s="3"/>
      <c r="B127" s="8" t="s">
        <v>382</v>
      </c>
      <c r="C127" s="9" t="s">
        <v>383</v>
      </c>
      <c r="D127" s="23" t="s">
        <v>384</v>
      </c>
      <c r="E127" s="7"/>
    </row>
    <row r="128" spans="1:5" ht="22.8" x14ac:dyDescent="0.3">
      <c r="A128" s="3"/>
      <c r="B128" s="8" t="s">
        <v>385</v>
      </c>
      <c r="C128" s="9" t="s">
        <v>386</v>
      </c>
      <c r="D128" s="23" t="s">
        <v>384</v>
      </c>
      <c r="E128" s="7"/>
    </row>
    <row r="129" spans="1:5" ht="34.200000000000003" x14ac:dyDescent="0.3">
      <c r="A129" s="3"/>
      <c r="B129" s="8" t="s">
        <v>387</v>
      </c>
      <c r="C129" s="9" t="s">
        <v>388</v>
      </c>
      <c r="D129" s="23" t="s">
        <v>384</v>
      </c>
      <c r="E129" s="7"/>
    </row>
    <row r="130" spans="1:5" ht="22.8" x14ac:dyDescent="0.3">
      <c r="A130" s="3"/>
      <c r="B130" s="8" t="s">
        <v>389</v>
      </c>
      <c r="C130" s="9" t="s">
        <v>390</v>
      </c>
      <c r="D130" s="23" t="s">
        <v>384</v>
      </c>
      <c r="E130" s="7"/>
    </row>
    <row r="131" spans="1:5" ht="22.8" x14ac:dyDescent="0.3">
      <c r="A131" s="3"/>
      <c r="B131" s="8" t="s">
        <v>391</v>
      </c>
      <c r="C131" s="9" t="s">
        <v>392</v>
      </c>
      <c r="D131" s="23" t="s">
        <v>384</v>
      </c>
      <c r="E131" s="7"/>
    </row>
    <row r="132" spans="1:5" ht="15" x14ac:dyDescent="0.3">
      <c r="A132" s="3"/>
      <c r="B132" s="8" t="s">
        <v>393</v>
      </c>
      <c r="C132" s="9" t="s">
        <v>394</v>
      </c>
      <c r="D132" s="23" t="s">
        <v>384</v>
      </c>
      <c r="E132" s="7"/>
    </row>
    <row r="133" spans="1:5" x14ac:dyDescent="0.3">
      <c r="A133" s="36"/>
      <c r="C133" t="s">
        <v>395</v>
      </c>
    </row>
    <row r="134" spans="1:5" ht="45.6" x14ac:dyDescent="0.3">
      <c r="A134" s="3"/>
      <c r="B134" s="8" t="s">
        <v>396</v>
      </c>
      <c r="C134" s="9" t="s">
        <v>397</v>
      </c>
      <c r="D134" s="23" t="s">
        <v>398</v>
      </c>
      <c r="E134" s="7"/>
    </row>
    <row r="135" spans="1:5" ht="22.8" x14ac:dyDescent="0.3">
      <c r="A135" s="3"/>
      <c r="B135" s="8" t="s">
        <v>399</v>
      </c>
      <c r="C135" s="9" t="s">
        <v>400</v>
      </c>
      <c r="D135" s="23" t="s">
        <v>398</v>
      </c>
      <c r="E135" s="7"/>
    </row>
    <row r="136" spans="1:5" ht="34.200000000000003" x14ac:dyDescent="0.3">
      <c r="A136" s="3"/>
      <c r="B136" s="8" t="s">
        <v>401</v>
      </c>
      <c r="C136" s="9" t="s">
        <v>402</v>
      </c>
      <c r="D136" s="23" t="s">
        <v>398</v>
      </c>
      <c r="E136" s="7"/>
    </row>
    <row r="137" spans="1:5" ht="34.200000000000003" x14ac:dyDescent="0.3">
      <c r="A137" s="3"/>
      <c r="B137" s="8" t="s">
        <v>403</v>
      </c>
      <c r="C137" s="9" t="s">
        <v>404</v>
      </c>
      <c r="D137" s="23" t="s">
        <v>398</v>
      </c>
      <c r="E137" s="7"/>
    </row>
    <row r="138" spans="1:5" ht="34.200000000000003" x14ac:dyDescent="0.3">
      <c r="A138" s="3"/>
      <c r="B138" s="8" t="s">
        <v>405</v>
      </c>
      <c r="C138" s="9" t="s">
        <v>406</v>
      </c>
      <c r="D138" s="23" t="s">
        <v>398</v>
      </c>
      <c r="E138" s="7"/>
    </row>
  </sheetData>
  <mergeCells count="10">
    <mergeCell ref="A55:E55"/>
    <mergeCell ref="A4:E4"/>
    <mergeCell ref="A26:E26"/>
    <mergeCell ref="A11:E11"/>
    <mergeCell ref="A1:E1"/>
    <mergeCell ref="A2:D2"/>
    <mergeCell ref="A44:E44"/>
    <mergeCell ref="A18:E18"/>
    <mergeCell ref="A39:E39"/>
    <mergeCell ref="A34:E34"/>
  </mergeCells>
  <conditionalFormatting sqref="A5:E9">
    <cfRule type="expression" dxfId="38" priority="2">
      <formula>$E5="Done"</formula>
    </cfRule>
    <cfRule type="expression" dxfId="37" priority="3">
      <formula>$E5="Blocked"</formula>
    </cfRule>
    <cfRule type="expression" dxfId="36" priority="4">
      <formula>$E5="In Progress"</formula>
    </cfRule>
  </conditionalFormatting>
  <conditionalFormatting sqref="A12:E16">
    <cfRule type="expression" dxfId="35" priority="17">
      <formula>$E12="Done"</formula>
    </cfRule>
    <cfRule type="expression" dxfId="34" priority="18">
      <formula>$E12="Blocked"</formula>
    </cfRule>
    <cfRule type="expression" dxfId="33" priority="19">
      <formula>$E12="In Progress"</formula>
    </cfRule>
  </conditionalFormatting>
  <conditionalFormatting sqref="A19:E24">
    <cfRule type="expression" dxfId="32" priority="32">
      <formula>$E19="Done"</formula>
    </cfRule>
    <cfRule type="expression" dxfId="31" priority="33">
      <formula>$E19="Blocked"</formula>
    </cfRule>
    <cfRule type="expression" dxfId="30" priority="34">
      <formula>$E19="In Progress"</formula>
    </cfRule>
  </conditionalFormatting>
  <conditionalFormatting sqref="A27:E32">
    <cfRule type="expression" dxfId="29" priority="50">
      <formula>$E27="Done"</formula>
    </cfRule>
    <cfRule type="expression" dxfId="28" priority="51">
      <formula>$E27="Blocked"</formula>
    </cfRule>
    <cfRule type="expression" dxfId="27" priority="52">
      <formula>$E27="In Progress"</formula>
    </cfRule>
  </conditionalFormatting>
  <conditionalFormatting sqref="A35:E37">
    <cfRule type="expression" dxfId="26" priority="68">
      <formula>$E35="Done"</formula>
    </cfRule>
    <cfRule type="expression" dxfId="25" priority="69">
      <formula>$E35="Blocked"</formula>
    </cfRule>
    <cfRule type="expression" dxfId="24" priority="70">
      <formula>$E35="In Progress"</formula>
    </cfRule>
  </conditionalFormatting>
  <conditionalFormatting sqref="A40:E42">
    <cfRule type="expression" dxfId="23" priority="77">
      <formula>$E40="Done"</formula>
    </cfRule>
    <cfRule type="expression" dxfId="22" priority="78">
      <formula>$E40="Blocked"</formula>
    </cfRule>
    <cfRule type="expression" dxfId="21" priority="79">
      <formula>$E40="In Progress"</formula>
    </cfRule>
  </conditionalFormatting>
  <conditionalFormatting sqref="A45:E53">
    <cfRule type="expression" dxfId="20" priority="86">
      <formula>$E45="Done"</formula>
    </cfRule>
    <cfRule type="expression" dxfId="19" priority="87">
      <formula>$E45="Blocked"</formula>
    </cfRule>
    <cfRule type="expression" dxfId="18" priority="88">
      <formula>$E45="In Progress"</formula>
    </cfRule>
  </conditionalFormatting>
  <conditionalFormatting sqref="A56:E59">
    <cfRule type="expression" dxfId="17" priority="113">
      <formula>$E56="Done"</formula>
    </cfRule>
    <cfRule type="expression" dxfId="16" priority="114">
      <formula>$E56="Blocked"</formula>
    </cfRule>
    <cfRule type="expression" dxfId="15" priority="115">
      <formula>$E56="In Progress"</formula>
    </cfRule>
  </conditionalFormatting>
  <dataValidations count="1">
    <dataValidation type="list" allowBlank="1" sqref="E5:E9 E12:E16 E19:E24 E27:E32 E35:E37 E40:E42 E45:E53 E56:E59" xr:uid="{00000000-0002-0000-01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showGridLines="0" zoomScaleNormal="100" workbookViewId="0">
      <pane ySplit="3" topLeftCell="A7" activePane="bottomLeft" state="frozen"/>
      <selection pane="bottomLeft" activeCell="B19" sqref="B19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7" t="s">
        <v>407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14 / 19 items completed</v>
      </c>
      <c r="B2" s="51"/>
      <c r="C2" s="51"/>
      <c r="D2" s="51"/>
      <c r="E2" s="13">
        <f>IFERROR(COUNTIF(E4:E2000,"Done")/COUNTA(B4:B2000),0)</f>
        <v>0.73684210526315785</v>
      </c>
    </row>
    <row r="3" spans="1:5" ht="21.75" customHeight="1" x14ac:dyDescent="0.3">
      <c r="A3" s="14"/>
      <c r="B3" s="14" t="s">
        <v>1</v>
      </c>
      <c r="C3" s="14" t="s">
        <v>2</v>
      </c>
      <c r="D3" s="14" t="s">
        <v>3</v>
      </c>
      <c r="E3" s="14" t="s">
        <v>4</v>
      </c>
    </row>
    <row r="4" spans="1:5" ht="19.5" customHeight="1" x14ac:dyDescent="0.3">
      <c r="A4" s="56" t="s">
        <v>408</v>
      </c>
      <c r="B4" s="51"/>
      <c r="C4" s="51"/>
      <c r="D4" s="51"/>
      <c r="E4" s="51"/>
    </row>
    <row r="5" spans="1:5" ht="30" customHeight="1" x14ac:dyDescent="0.3">
      <c r="A5" s="3" t="s">
        <v>6</v>
      </c>
      <c r="B5" s="4" t="s">
        <v>409</v>
      </c>
      <c r="C5" s="5" t="s">
        <v>410</v>
      </c>
      <c r="D5" s="24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411</v>
      </c>
      <c r="C6" s="9" t="s">
        <v>412</v>
      </c>
      <c r="D6" s="24" t="s">
        <v>158</v>
      </c>
      <c r="E6" s="7" t="s">
        <v>159</v>
      </c>
    </row>
    <row r="7" spans="1:5" ht="30" customHeight="1" x14ac:dyDescent="0.3">
      <c r="A7" s="3" t="s">
        <v>6</v>
      </c>
      <c r="B7" s="4" t="s">
        <v>413</v>
      </c>
      <c r="C7" s="5" t="s">
        <v>414</v>
      </c>
      <c r="D7" s="24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415</v>
      </c>
      <c r="C8" s="9" t="s">
        <v>416</v>
      </c>
      <c r="D8" s="24" t="s">
        <v>158</v>
      </c>
      <c r="E8" s="7" t="s">
        <v>159</v>
      </c>
    </row>
    <row r="9" spans="1:5" ht="30" customHeight="1" x14ac:dyDescent="0.3">
      <c r="A9" s="3" t="s">
        <v>6</v>
      </c>
      <c r="B9" s="4" t="s">
        <v>417</v>
      </c>
      <c r="C9" s="5" t="s">
        <v>418</v>
      </c>
      <c r="D9" s="24" t="s">
        <v>158</v>
      </c>
      <c r="E9" s="7" t="s">
        <v>159</v>
      </c>
    </row>
    <row r="10" spans="1:5" ht="30" customHeight="1" x14ac:dyDescent="0.3">
      <c r="A10" s="3" t="s">
        <v>6</v>
      </c>
      <c r="B10" s="8" t="s">
        <v>419</v>
      </c>
      <c r="C10" s="9" t="s">
        <v>420</v>
      </c>
      <c r="D10" s="24" t="s">
        <v>158</v>
      </c>
      <c r="E10" s="7" t="s">
        <v>159</v>
      </c>
    </row>
    <row r="11" spans="1:5" ht="30" customHeight="1" x14ac:dyDescent="0.3">
      <c r="A11" s="3" t="s">
        <v>6</v>
      </c>
      <c r="B11" s="4" t="s">
        <v>421</v>
      </c>
      <c r="C11" s="5" t="s">
        <v>422</v>
      </c>
      <c r="D11" s="24" t="s">
        <v>158</v>
      </c>
      <c r="E11" s="7" t="s">
        <v>159</v>
      </c>
    </row>
    <row r="12" spans="1:5" ht="30" customHeight="1" x14ac:dyDescent="0.3">
      <c r="A12" s="3" t="s">
        <v>6</v>
      </c>
      <c r="B12" s="8" t="s">
        <v>423</v>
      </c>
      <c r="C12" s="9" t="s">
        <v>424</v>
      </c>
      <c r="D12" s="24" t="s">
        <v>158</v>
      </c>
      <c r="E12" s="7" t="s">
        <v>159</v>
      </c>
    </row>
    <row r="14" spans="1:5" ht="19.5" customHeight="1" x14ac:dyDescent="0.3">
      <c r="A14" s="56" t="s">
        <v>425</v>
      </c>
      <c r="B14" s="51"/>
      <c r="C14" s="51"/>
      <c r="D14" s="51"/>
      <c r="E14" s="51"/>
    </row>
    <row r="15" spans="1:5" ht="21.75" customHeight="1" x14ac:dyDescent="0.3">
      <c r="A15" s="3" t="s">
        <v>6</v>
      </c>
      <c r="B15" s="4" t="s">
        <v>426</v>
      </c>
      <c r="C15" s="5" t="s">
        <v>427</v>
      </c>
      <c r="D15" s="34" t="s">
        <v>158</v>
      </c>
      <c r="E15" s="7" t="s">
        <v>159</v>
      </c>
    </row>
    <row r="16" spans="1:5" ht="30" customHeight="1" x14ac:dyDescent="0.3">
      <c r="A16" s="3" t="s">
        <v>6</v>
      </c>
      <c r="B16" s="8" t="s">
        <v>428</v>
      </c>
      <c r="C16" s="9" t="s">
        <v>429</v>
      </c>
      <c r="D16" s="34" t="s">
        <v>158</v>
      </c>
      <c r="E16" s="7" t="s">
        <v>159</v>
      </c>
    </row>
    <row r="17" spans="1:5" ht="30" customHeight="1" x14ac:dyDescent="0.3">
      <c r="A17" s="3" t="s">
        <v>6</v>
      </c>
      <c r="B17" s="4" t="s">
        <v>430</v>
      </c>
      <c r="C17" s="5" t="s">
        <v>431</v>
      </c>
      <c r="D17" s="34" t="s">
        <v>432</v>
      </c>
      <c r="E17" s="7"/>
    </row>
    <row r="18" spans="1:5" ht="30" customHeight="1" x14ac:dyDescent="0.3">
      <c r="A18" s="3" t="s">
        <v>6</v>
      </c>
      <c r="B18" s="8" t="s">
        <v>433</v>
      </c>
      <c r="C18" s="9" t="s">
        <v>434</v>
      </c>
      <c r="D18" s="34" t="s">
        <v>158</v>
      </c>
      <c r="E18" s="7" t="s">
        <v>159</v>
      </c>
    </row>
    <row r="19" spans="1:5" ht="30" customHeight="1" x14ac:dyDescent="0.3">
      <c r="A19" s="3" t="s">
        <v>6</v>
      </c>
      <c r="B19" s="4" t="s">
        <v>435</v>
      </c>
      <c r="C19" s="5" t="s">
        <v>436</v>
      </c>
      <c r="D19" s="34" t="s">
        <v>158</v>
      </c>
      <c r="E19" s="7" t="s">
        <v>159</v>
      </c>
    </row>
    <row r="21" spans="1:5" ht="19.5" customHeight="1" x14ac:dyDescent="0.3">
      <c r="A21" s="56" t="s">
        <v>437</v>
      </c>
      <c r="B21" s="51"/>
      <c r="C21" s="51"/>
      <c r="D21" s="51"/>
      <c r="E21" s="51"/>
    </row>
    <row r="22" spans="1:5" ht="21.75" customHeight="1" x14ac:dyDescent="0.3">
      <c r="A22" s="3" t="s">
        <v>6</v>
      </c>
      <c r="B22" s="8" t="s">
        <v>438</v>
      </c>
      <c r="C22" s="9" t="s">
        <v>439</v>
      </c>
      <c r="D22" s="10"/>
      <c r="E22" s="7" t="s">
        <v>10</v>
      </c>
    </row>
    <row r="23" spans="1:5" ht="30" customHeight="1" x14ac:dyDescent="0.3">
      <c r="A23" s="3" t="s">
        <v>6</v>
      </c>
      <c r="B23" s="4" t="s">
        <v>440</v>
      </c>
      <c r="C23" s="5" t="s">
        <v>441</v>
      </c>
      <c r="D23" s="6" t="s">
        <v>442</v>
      </c>
      <c r="E23" s="7" t="s">
        <v>10</v>
      </c>
    </row>
    <row r="24" spans="1:5" ht="30" customHeight="1" x14ac:dyDescent="0.3">
      <c r="A24" s="3" t="s">
        <v>6</v>
      </c>
      <c r="B24" s="8" t="s">
        <v>443</v>
      </c>
      <c r="C24" s="9" t="s">
        <v>444</v>
      </c>
      <c r="D24" s="10"/>
      <c r="E24" s="7" t="s">
        <v>10</v>
      </c>
    </row>
    <row r="25" spans="1:5" ht="30" customHeight="1" x14ac:dyDescent="0.3">
      <c r="A25" s="3" t="s">
        <v>6</v>
      </c>
      <c r="B25" s="4" t="s">
        <v>445</v>
      </c>
      <c r="C25" s="5" t="s">
        <v>446</v>
      </c>
      <c r="D25" s="6"/>
      <c r="E25" s="7" t="s">
        <v>10</v>
      </c>
    </row>
    <row r="27" spans="1:5" x14ac:dyDescent="0.3">
      <c r="C27" s="37" t="s">
        <v>447</v>
      </c>
    </row>
    <row r="28" spans="1:5" ht="22.8" x14ac:dyDescent="0.3">
      <c r="A28" s="3"/>
      <c r="B28" s="4" t="s">
        <v>448</v>
      </c>
      <c r="C28" s="5" t="s">
        <v>449</v>
      </c>
      <c r="D28" s="34" t="s">
        <v>260</v>
      </c>
      <c r="E28" s="7" t="s">
        <v>159</v>
      </c>
    </row>
    <row r="29" spans="1:5" ht="15" x14ac:dyDescent="0.3">
      <c r="A29" s="3"/>
      <c r="B29" s="4" t="s">
        <v>450</v>
      </c>
      <c r="C29" s="5" t="s">
        <v>451</v>
      </c>
      <c r="D29" s="34" t="s">
        <v>260</v>
      </c>
      <c r="E29" s="7" t="s">
        <v>159</v>
      </c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dxfId="14" priority="2">
      <formula>$E5="Done"</formula>
    </cfRule>
    <cfRule type="expression" dxfId="13" priority="3">
      <formula>$E5="Blocked"</formula>
    </cfRule>
    <cfRule type="expression" dxfId="12" priority="4">
      <formula>$E5="In Progress"</formula>
    </cfRule>
  </conditionalFormatting>
  <conditionalFormatting sqref="A15:E19">
    <cfRule type="expression" dxfId="11" priority="26">
      <formula>$E15="Done"</formula>
    </cfRule>
    <cfRule type="expression" dxfId="10" priority="27">
      <formula>$E15="Blocked"</formula>
    </cfRule>
    <cfRule type="expression" dxfId="9" priority="28">
      <formula>$E15="In Progress"</formula>
    </cfRule>
  </conditionalFormatting>
  <conditionalFormatting sqref="A22:E25">
    <cfRule type="expression" dxfId="8" priority="41">
      <formula>$E22="Done"</formula>
    </cfRule>
    <cfRule type="expression" dxfId="7" priority="42">
      <formula>$E22="Blocked"</formula>
    </cfRule>
    <cfRule type="expression" dxfId="6" priority="43">
      <formula>$E22="In Progress"</formula>
    </cfRule>
  </conditionalFormatting>
  <dataValidations count="1">
    <dataValidation type="list" allowBlank="1" sqref="E5:E12 E15:E19 E22:E25" xr:uid="{00000000-0002-0000-02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showGridLines="0" zoomScaleNormal="100" workbookViewId="0">
      <pane ySplit="3" topLeftCell="A22" activePane="bottomLeft" state="frozen"/>
      <selection pane="bottomLeft" sqref="A1:E1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8" t="s">
        <v>452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0 / 12 items completed</v>
      </c>
      <c r="B2" s="51"/>
      <c r="C2" s="51"/>
      <c r="D2" s="51"/>
      <c r="E2" s="15">
        <f>IFERROR(COUNTIF(E4:E2000,"Done")/COUNTA(B4:B2000),0)</f>
        <v>0</v>
      </c>
    </row>
    <row r="3" spans="1:5" ht="21.75" customHeight="1" x14ac:dyDescent="0.3">
      <c r="A3" s="16"/>
      <c r="B3" s="16" t="s">
        <v>1</v>
      </c>
      <c r="C3" s="16" t="s">
        <v>2</v>
      </c>
      <c r="D3" s="16" t="s">
        <v>3</v>
      </c>
      <c r="E3" s="16" t="s">
        <v>4</v>
      </c>
    </row>
    <row r="4" spans="1:5" ht="19.5" customHeight="1" x14ac:dyDescent="0.3">
      <c r="A4" s="59" t="s">
        <v>453</v>
      </c>
      <c r="B4" s="51"/>
      <c r="C4" s="51"/>
      <c r="D4" s="51"/>
      <c r="E4" s="51"/>
    </row>
    <row r="5" spans="1:5" ht="21.75" customHeight="1" x14ac:dyDescent="0.3">
      <c r="A5" s="3" t="s">
        <v>6</v>
      </c>
      <c r="B5" s="4" t="s">
        <v>454</v>
      </c>
      <c r="C5" s="5" t="s">
        <v>455</v>
      </c>
      <c r="D5" s="6" t="s">
        <v>456</v>
      </c>
      <c r="E5" s="7" t="s">
        <v>10</v>
      </c>
    </row>
    <row r="6" spans="1:5" ht="21.75" customHeight="1" x14ac:dyDescent="0.3">
      <c r="A6" s="3" t="s">
        <v>6</v>
      </c>
      <c r="B6" s="8" t="s">
        <v>457</v>
      </c>
      <c r="C6" s="9" t="s">
        <v>458</v>
      </c>
      <c r="D6" s="10" t="s">
        <v>459</v>
      </c>
      <c r="E6" s="7" t="s">
        <v>10</v>
      </c>
    </row>
    <row r="7" spans="1:5" ht="30" customHeight="1" x14ac:dyDescent="0.3">
      <c r="A7" s="3" t="s">
        <v>6</v>
      </c>
      <c r="B7" s="4" t="s">
        <v>460</v>
      </c>
      <c r="C7" s="5" t="s">
        <v>461</v>
      </c>
      <c r="D7" s="6" t="s">
        <v>462</v>
      </c>
      <c r="E7" s="7" t="s">
        <v>10</v>
      </c>
    </row>
    <row r="8" spans="1:5" ht="21.75" customHeight="1" x14ac:dyDescent="0.3">
      <c r="A8" s="3" t="s">
        <v>6</v>
      </c>
      <c r="B8" s="8" t="s">
        <v>463</v>
      </c>
      <c r="C8" s="9" t="s">
        <v>464</v>
      </c>
      <c r="D8" s="10" t="s">
        <v>465</v>
      </c>
      <c r="E8" s="7" t="s">
        <v>10</v>
      </c>
    </row>
    <row r="9" spans="1:5" ht="21.75" customHeight="1" x14ac:dyDescent="0.3">
      <c r="A9" s="3" t="s">
        <v>6</v>
      </c>
      <c r="B9" s="4" t="s">
        <v>466</v>
      </c>
      <c r="C9" s="5" t="s">
        <v>467</v>
      </c>
      <c r="D9" s="6" t="s">
        <v>468</v>
      </c>
      <c r="E9" s="7" t="s">
        <v>10</v>
      </c>
    </row>
    <row r="10" spans="1:5" ht="21.75" customHeight="1" x14ac:dyDescent="0.3">
      <c r="A10" s="3" t="s">
        <v>6</v>
      </c>
      <c r="B10" s="8" t="s">
        <v>469</v>
      </c>
      <c r="C10" s="9" t="s">
        <v>470</v>
      </c>
      <c r="D10" s="10" t="s">
        <v>471</v>
      </c>
      <c r="E10" s="7" t="s">
        <v>10</v>
      </c>
    </row>
    <row r="12" spans="1:5" ht="19.5" customHeight="1" x14ac:dyDescent="0.3">
      <c r="A12" s="59" t="s">
        <v>472</v>
      </c>
      <c r="B12" s="51"/>
      <c r="C12" s="51"/>
      <c r="D12" s="51"/>
      <c r="E12" s="51"/>
    </row>
    <row r="13" spans="1:5" ht="21.75" customHeight="1" x14ac:dyDescent="0.3">
      <c r="A13" s="3" t="s">
        <v>6</v>
      </c>
      <c r="B13" s="4" t="s">
        <v>473</v>
      </c>
      <c r="C13" s="5" t="s">
        <v>474</v>
      </c>
      <c r="D13" s="6" t="s">
        <v>475</v>
      </c>
      <c r="E13" s="7" t="s">
        <v>10</v>
      </c>
    </row>
    <row r="14" spans="1:5" ht="21.75" customHeight="1" x14ac:dyDescent="0.3">
      <c r="A14" s="3" t="s">
        <v>6</v>
      </c>
      <c r="B14" s="8" t="s">
        <v>476</v>
      </c>
      <c r="C14" s="9" t="s">
        <v>477</v>
      </c>
      <c r="D14" s="10"/>
      <c r="E14" s="7" t="s">
        <v>10</v>
      </c>
    </row>
    <row r="15" spans="1:5" ht="21.75" customHeight="1" x14ac:dyDescent="0.3">
      <c r="A15" s="3" t="s">
        <v>6</v>
      </c>
      <c r="B15" s="4" t="s">
        <v>478</v>
      </c>
      <c r="C15" s="5" t="s">
        <v>479</v>
      </c>
      <c r="D15" s="6"/>
      <c r="E15" s="7" t="s">
        <v>10</v>
      </c>
    </row>
    <row r="16" spans="1:5" ht="21.75" customHeight="1" x14ac:dyDescent="0.3">
      <c r="A16" s="3" t="s">
        <v>6</v>
      </c>
      <c r="B16" s="8" t="s">
        <v>480</v>
      </c>
      <c r="C16" s="9" t="s">
        <v>481</v>
      </c>
      <c r="D16" s="10"/>
      <c r="E16" s="7" t="s">
        <v>10</v>
      </c>
    </row>
    <row r="17" spans="1:5" ht="21.75" customHeight="1" x14ac:dyDescent="0.3">
      <c r="A17" s="3" t="s">
        <v>6</v>
      </c>
      <c r="B17" s="4" t="s">
        <v>482</v>
      </c>
      <c r="C17" s="5" t="s">
        <v>483</v>
      </c>
      <c r="D17" s="6" t="s">
        <v>484</v>
      </c>
      <c r="E17" s="7" t="s">
        <v>10</v>
      </c>
    </row>
    <row r="18" spans="1:5" ht="30" customHeight="1" x14ac:dyDescent="0.3">
      <c r="A18" s="3" t="s">
        <v>6</v>
      </c>
      <c r="B18" s="8" t="s">
        <v>485</v>
      </c>
      <c r="C18" s="9" t="s">
        <v>486</v>
      </c>
      <c r="D18" s="10"/>
      <c r="E18" s="7" t="s">
        <v>10</v>
      </c>
    </row>
  </sheetData>
  <mergeCells count="4">
    <mergeCell ref="A2:D2"/>
    <mergeCell ref="A1:E1"/>
    <mergeCell ref="A4:E4"/>
    <mergeCell ref="A12:E12"/>
  </mergeCells>
  <conditionalFormatting sqref="A5:E10">
    <cfRule type="expression" dxfId="5" priority="2">
      <formula>$E5="Done"</formula>
    </cfRule>
    <cfRule type="expression" dxfId="4" priority="3">
      <formula>$E5="Blocked"</formula>
    </cfRule>
    <cfRule type="expression" dxfId="3" priority="4">
      <formula>$E5="In Progress"</formula>
    </cfRule>
  </conditionalFormatting>
  <conditionalFormatting sqref="A13:E18">
    <cfRule type="expression" dxfId="2" priority="20">
      <formula>$E13="Done"</formula>
    </cfRule>
    <cfRule type="expression" dxfId="1" priority="21">
      <formula>$E13="Blocked"</formula>
    </cfRule>
    <cfRule type="expression" dxfId="0" priority="22">
      <formula>$E13="In Progress"</formula>
    </cfRule>
  </conditionalFormatting>
  <dataValidations count="1">
    <dataValidation type="list" allowBlank="1" sqref="E5:E10 E13:E18" xr:uid="{00000000-0002-0000-03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· Engineer Tests</vt:lpstr>
      <vt:lpstr>2 · QA Tester</vt:lpstr>
      <vt:lpstr>3 · End-User Sanity</vt:lpstr>
      <vt:lpstr>4 · 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Chukwuemeka Anyanwu</cp:lastModifiedBy>
  <cp:revision>0</cp:revision>
  <dcterms:created xsi:type="dcterms:W3CDTF">2026-05-23T11:46:04Z</dcterms:created>
  <dcterms:modified xsi:type="dcterms:W3CDTF">2026-10-04T15:48:44Z</dcterms:modified>
  <dc:language>en-US</dc:language>
</cp:coreProperties>
</file>